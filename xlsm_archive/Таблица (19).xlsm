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9/"/>
    </mc:Choice>
  </mc:AlternateContent>
  <xr:revisionPtr revIDLastSave="0" documentId="13_ncr:1_{3B32DBE2-2901-D947-A6EF-ADDCDCC49D42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3" i="6"/>
  <c r="B5" i="6"/>
  <c r="B2" i="6"/>
  <c r="B4" i="6"/>
  <c r="B8" i="6"/>
  <c r="B7" i="6"/>
  <c r="B9" i="6"/>
  <c r="B10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7" i="1"/>
  <c r="A8" i="1"/>
  <c r="A4" i="1"/>
  <c r="A2" i="1"/>
  <c r="A5" i="1"/>
  <c r="A3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2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5" i="1"/>
  <c r="C7" i="1"/>
  <c r="C11" i="1"/>
  <c r="C12" i="1"/>
  <c r="C4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7" i="1"/>
  <c r="F8" i="1"/>
  <c r="F4" i="1"/>
  <c r="F2" i="1"/>
  <c r="F5" i="1"/>
  <c r="F3" i="1"/>
  <c r="F6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4" i="1"/>
  <c r="H4" i="1" s="1" a="1"/>
  <c r="H4" i="1" s="1"/>
  <c r="G10" i="1"/>
  <c r="H10" i="1" s="1" a="1"/>
  <c r="H10" i="1" s="1"/>
  <c r="G14" i="1"/>
  <c r="H14" i="1" s="1" a="1"/>
  <c r="H14" i="1" s="1"/>
  <c r="G3" i="1"/>
  <c r="H3" i="1" s="1" a="1"/>
  <c r="H3" i="1" s="1"/>
  <c r="G17" i="1"/>
  <c r="H17" i="1" s="1" a="1"/>
  <c r="H17" i="1" s="1"/>
  <c r="G13" i="1"/>
  <c r="H13" i="1" s="1" a="1"/>
  <c r="H13" i="1" s="1"/>
  <c r="G2" i="1"/>
  <c r="H2" i="1" s="1" a="1"/>
  <c r="H2" i="1" s="1"/>
  <c r="G16" i="1"/>
  <c r="H16" i="1" s="1" a="1"/>
  <c r="H16" i="1" s="1"/>
  <c r="G12" i="1"/>
  <c r="H12" i="1" s="1" a="1"/>
  <c r="H12" i="1" s="1"/>
  <c r="G7" i="1"/>
  <c r="H7" i="1" s="1" a="1"/>
  <c r="H7" i="1" s="1"/>
  <c r="G5" i="1"/>
  <c r="H5" i="1" s="1" a="1"/>
  <c r="H5" i="1" s="1"/>
  <c r="G15" i="1"/>
  <c r="H15" i="1" s="1" a="1"/>
  <c r="H15" i="1" s="1"/>
  <c r="G11" i="1"/>
  <c r="H11" i="1" s="1" a="1"/>
  <c r="H11" i="1" s="1"/>
  <c r="G8" i="1"/>
  <c r="H8" i="1" s="1" a="1"/>
  <c r="H8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7" i="1" s="1"/>
  <c r="S4" i="4"/>
  <c r="C6" i="1"/>
  <c r="C10" i="1"/>
  <c r="C15" i="1"/>
  <c r="C13" i="1"/>
  <c r="C9" i="1"/>
  <c r="C8" i="1"/>
  <c r="C3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7" i="1"/>
  <c r="I13" i="1"/>
  <c r="I10" i="1"/>
  <c r="I15" i="1"/>
  <c r="G15" i="6"/>
  <c r="I17" i="1"/>
  <c r="I14" i="1"/>
  <c r="I11" i="1"/>
  <c r="I12" i="1"/>
  <c r="I16" i="1"/>
  <c r="T5" i="4"/>
  <c r="D2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4" i="1" s="1"/>
  <c r="T4" i="4"/>
  <c r="D5" i="1" s="1"/>
  <c r="T7" i="4"/>
  <c r="D8" i="1" s="1"/>
  <c r="I8" i="1" s="1"/>
  <c r="T3" i="4"/>
  <c r="D3" i="1" s="1"/>
  <c r="N1" i="1"/>
  <c r="T2" i="4"/>
  <c r="D6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4" i="6" a="1"/>
  <c r="C4" i="6" s="1"/>
  <c r="C16" i="6" a="1"/>
  <c r="C16" i="6" s="1"/>
  <c r="I16" i="6" s="1"/>
  <c r="C14" i="6" a="1"/>
  <c r="C14" i="6" s="1"/>
  <c r="I14" i="6" s="1"/>
  <c r="C12" i="6" a="1"/>
  <c r="C12" i="6" s="1"/>
  <c r="I12" i="6" s="1"/>
  <c r="C8" i="6" a="1"/>
  <c r="C8" i="6" s="1"/>
  <c r="C2" i="6" a="1"/>
  <c r="C2" i="6" s="1"/>
  <c r="C3" i="6" a="1"/>
  <c r="C3" i="6" s="1"/>
  <c r="I3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5" i="6" a="1"/>
  <c r="C5" i="6" s="1"/>
  <c r="C7" i="6" a="1"/>
  <c r="C7" i="6" s="1"/>
  <c r="C9" i="6" a="1"/>
  <c r="C9" i="6" s="1"/>
  <c r="I9" i="6" s="1"/>
  <c r="C6" i="6" a="1"/>
  <c r="C6" i="6" s="1"/>
  <c r="I2" i="6" s="1"/>
  <c r="G9" i="6"/>
  <c r="I6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7" i="6" l="1"/>
  <c r="I5" i="6"/>
  <c r="G8" i="6"/>
  <c r="I6" i="6"/>
  <c r="I4" i="6"/>
  <c r="G4" i="6"/>
  <c r="G3" i="6"/>
  <c r="G5" i="6"/>
  <c r="I5" i="1" s="1"/>
  <c r="Q4" i="5" s="1"/>
  <c r="I8" i="6"/>
  <c r="G7" i="6"/>
  <c r="I4" i="1"/>
  <c r="I3" i="1"/>
  <c r="Q2" i="5"/>
  <c r="L2" i="5"/>
  <c r="G2" i="6"/>
  <c r="I2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L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<sst xmlns="http://schemas.openxmlformats.org/spreadsheetml/2006/main" count="81" uniqueCount="48">
  <si>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</si>
  <si>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</si>
  <si>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</si>
  <si>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</si>
  <si>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</si>
  <si>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</si>
  <si>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</si>
  <si>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</si>
  <si>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</si>
  <si>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</si>
  <si>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</si>
  <si>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</si>
  <si>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</si>
  <si>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</si>
  <si>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</si>
  <si>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</si>
  <si>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</si>
  <si>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</si>
  <si>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</si>
  <si>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</si>
  <si>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</si>
  <si>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</si>
  <si>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</si>
  <si>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</si>
  <si>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</si>
  <si>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</si>
  <si>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</si>
  <si>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</si>
  <si>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</si>
  <si>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</si>
  <si>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</si>
  <si>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</si>
  <si>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</si>
  <si>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</si>
  <si>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</si>
  <si>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</si>
  <si>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</si>
  <si>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</si>
  <si>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</si>
  <si>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</si>
  <si>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</si>
  <si>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</si>
  <si>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</si>
  <si>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</si>
  <si>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Авось</t>
  </si>
  <si>
    <t>Тов Слоникян</t>
  </si>
  <si>
    <t>Кроме шуток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</si>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</sst>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A16" sqref="A16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45515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Команды!A7</f>
        <v>Остров предположений</v>
      </c>
      <c r="B2" s="6">
        <v>200</v>
      </c>
      <c r="C2" s="6">
        <f>Числа!G6</f>
        <v>1100</v>
      </c>
      <c r="D2" s="6">
        <f>Преферанс!T5</f>
        <v>150</v>
      </c>
      <c r="E2" s="6">
        <v>300</v>
      </c>
      <c r="F2" s="6">
        <f>Разоблачение!F6</f>
        <v>300</v>
      </c>
      <c r="G2" s="6">
        <f>Аукцион!J5</f>
        <v>1300</v>
      </c>
      <c r="H2" s="6">
        <f t="array" ref="H2">IF(ISNUMBER(G2),SUM(IF('Момент истины'!$B$2:$B$30=$A2,'Момент истины'!$D$2:$F$30)),"")</f>
        <v>3250</v>
      </c>
      <c r="I2" s="4">
        <f>IF(ISNUMBER(B2),SUM(B2:H2),"")</f>
        <v>6600</v>
      </c>
      <c r="M2" s="35">
        <f>IF(M$1&gt;1,IF(B2=MAX(B$2:B$26),SUM(B2:C2),""),IF(ISNUMBER(B2),B2,""))</f>
        <v>200</v>
      </c>
      <c r="N2" s="35">
        <f t="shared" ref="N2:S17" si="1">IF(N$1&gt;1,IF(C2=MAX(C$2:C$26),SUM(C2:D2),""),C2)</f>
        <v>1100</v>
      </c>
      <c r="O2" s="35">
        <f t="shared" si="1"/>
        <v>150</v>
      </c>
      <c r="P2" s="35">
        <f>IF(P$1&gt;1,IF(E2=MAX(E$2:E$26),SUM(E2:F2),""),IF(ISNUMBER(E2),E2,""))</f>
        <v>300</v>
      </c>
      <c r="Q2" s="35">
        <f t="shared" si="1"/>
        <v>300</v>
      </c>
      <c r="R2" s="35">
        <f t="shared" si="1"/>
        <v>1300</v>
      </c>
      <c r="S2" s="35">
        <f t="shared" si="1"/>
        <v>3250</v>
      </c>
    </row>
    <row r="3" spans="1:19" ht="54" x14ac:dyDescent="0.6">
      <c r="A3" s="55" t="str">
        <f>Команды!A5</f>
        <v>Тихая дружба с овощем</v>
      </c>
      <c r="B3" s="6">
        <v>500</v>
      </c>
      <c r="C3" s="6">
        <f>Числа!G4</f>
        <v>1500</v>
      </c>
      <c r="D3" s="6">
        <f>Преферанс!T3</f>
        <v>-100</v>
      </c>
      <c r="E3" s="6">
        <v>1000</v>
      </c>
      <c r="F3" s="6">
        <f>Разоблачение!F4</f>
        <v>200</v>
      </c>
      <c r="G3" s="6">
        <f>Аукцион!J3</f>
        <v>1700</v>
      </c>
      <c r="H3" s="6">
        <f t="array" ref="H3">IF(ISNUMBER(G3),SUM(IF('Момент истины'!$B$2:$B$30=$A3,'Момент истины'!$D$2:$F$30)),"")</f>
        <v>-4200</v>
      </c>
      <c r="I3" s="4">
        <f>IF(ISNUMBER(B3),SUM(B3:H3),"")</f>
        <v>600</v>
      </c>
      <c r="M3" s="35">
        <f t="shared" ref="M3:M32" si="2">IF(M$1&gt;1,IF(B3=MAX(B$2:B$26),SUM(B3:C3),""),IF(ISNUMBER(B3),B3,""))</f>
        <v>500</v>
      </c>
      <c r="N3" s="35">
        <f t="shared" si="1"/>
        <v>1500</v>
      </c>
      <c r="O3" s="35">
        <f t="shared" si="1"/>
        <v>-100</v>
      </c>
      <c r="P3" s="35">
        <f t="shared" ref="P3:P32" si="3">IF(P$1&gt;1,IF(E3=MAX(E$2:E$26),SUM(E3:F3),""),IF(ISNUMBER(E3),E3,""))</f>
        <v>1000</v>
      </c>
      <c r="Q3" s="35">
        <f t="shared" si="1"/>
        <v>200</v>
      </c>
      <c r="R3" s="35">
        <f t="shared" si="1"/>
        <v>1700</v>
      </c>
      <c r="S3" s="35">
        <f t="shared" si="1"/>
        <v>-4200</v>
      </c>
    </row>
    <row r="4" spans="1:19" ht="54" x14ac:dyDescent="0.6">
      <c r="A4" s="55" t="str">
        <f>Команды!A8</f>
        <v>Тов Слоникян</v>
      </c>
      <c r="B4" s="6">
        <v>400</v>
      </c>
      <c r="C4" s="6">
        <f>Числа!G7</f>
        <v>700</v>
      </c>
      <c r="D4" s="6">
        <f>Преферанс!T6</f>
        <v>50</v>
      </c>
      <c r="E4" s="6">
        <v>900</v>
      </c>
      <c r="F4" s="6">
        <f>Разоблачение!F7</f>
        <v>800</v>
      </c>
      <c r="G4" s="6">
        <f>Аукцион!J6</f>
        <v>3300</v>
      </c>
      <c r="H4" s="6">
        <f t="array" ref="H4">IF(ISNUMBER(G4),SUM(IF('Момент истины'!$B$2:$B$30=$A4,'Момент истины'!$D$2:$F$30)),"")</f>
        <v>-5950</v>
      </c>
      <c r="I4" s="4">
        <f>IF(ISNUMBER(B4),SUM(B4:H4),"")</f>
        <v>200</v>
      </c>
      <c r="M4" s="35">
        <f t="shared" si="2"/>
        <v>400</v>
      </c>
      <c r="N4" s="35">
        <f t="shared" si="1"/>
        <v>700</v>
      </c>
      <c r="O4" s="35">
        <f t="shared" si="1"/>
        <v>50</v>
      </c>
      <c r="P4" s="35">
        <f t="shared" si="3"/>
        <v>900</v>
      </c>
      <c r="Q4" s="35">
        <f t="shared" si="1"/>
        <v>800</v>
      </c>
      <c r="R4" s="35">
        <f t="shared" si="1"/>
        <v>3300</v>
      </c>
      <c r="S4" s="35">
        <f t="shared" si="1"/>
        <v>-5950</v>
      </c>
    </row>
    <row r="5" spans="1:19" ht="54" x14ac:dyDescent="0.6">
      <c r="A5" s="55" t="str">
        <f>Команды!A6</f>
        <v>Суровая реальность</v>
      </c>
      <c r="B5" s="6">
        <v>600</v>
      </c>
      <c r="C5" s="6">
        <f>Числа!G5</f>
        <v>2000</v>
      </c>
      <c r="D5" s="6">
        <f>Преферанс!T4</f>
        <v>1500</v>
      </c>
      <c r="E5" s="6">
        <v>900</v>
      </c>
      <c r="F5" s="6">
        <f>Разоблачение!F5</f>
        <v>-300</v>
      </c>
      <c r="G5" s="6">
        <f>Аукцион!J4</f>
        <v>2650</v>
      </c>
      <c r="H5" s="6">
        <f t="array" ref="H5">IF(ISNUMBER(G5),SUM(IF('Момент истины'!$B$2:$B$30=$A5,'Момент истины'!$D$2:$F$30)),"")</f>
        <v>-7324</v>
      </c>
      <c r="I5" s="4">
        <f>IF(ISNUMBER(B5),SUM(B5:H5),"")</f>
        <v>26</v>
      </c>
      <c r="M5" s="35">
        <f t="shared" si="2"/>
        <v>600</v>
      </c>
      <c r="N5" s="35">
        <f t="shared" si="1"/>
        <v>2000</v>
      </c>
      <c r="O5" s="35">
        <f t="shared" si="1"/>
        <v>1500</v>
      </c>
      <c r="P5" s="35">
        <f t="shared" si="3"/>
        <v>900</v>
      </c>
      <c r="Q5" s="35">
        <f t="shared" si="1"/>
        <v>-300</v>
      </c>
      <c r="R5" s="35">
        <f t="shared" si="1"/>
        <v>2650</v>
      </c>
      <c r="S5" s="35">
        <f t="shared" si="1"/>
        <v>-7324</v>
      </c>
    </row>
    <row r="6" spans="1:19" ht="54" x14ac:dyDescent="0.6">
      <c r="A6" s="55" t="str">
        <f>Команды!A4</f>
        <v>Однажды было дважды</v>
      </c>
      <c r="B6" s="6">
        <v>-200</v>
      </c>
      <c r="C6" s="6">
        <f>Числа!G3</f>
        <v>1600</v>
      </c>
      <c r="D6" s="6">
        <f>Преферанс!T2</f>
        <v>1600</v>
      </c>
      <c r="E6" s="6">
        <v>600</v>
      </c>
      <c r="F6" s="6">
        <f>Разоблачение!F3</f>
        <v>700</v>
      </c>
      <c r="G6" s="6">
        <f>Аукцион!J2</f>
        <v>650</v>
      </c>
      <c r="H6" s="6">
        <f t="array" ref="H6">IF(ISNUMBER(G6),SUM(IF('Момент истины'!$B$2:$B$30=$A6,'Момент истины'!$D$2:$F$30)),"")</f>
        <v>-4950</v>
      </c>
      <c r="I6" s="4">
        <f>IF(ISNUMBER(B6),SUM(B6:H6),"")</f>
        <v>0</v>
      </c>
      <c r="M6" s="35">
        <f t="shared" si="2"/>
        <v>-200</v>
      </c>
      <c r="N6" s="35">
        <f t="shared" si="1"/>
        <v>1600</v>
      </c>
      <c r="O6" s="35">
        <f t="shared" si="1"/>
        <v>1600</v>
      </c>
      <c r="P6" s="35">
        <f t="shared" si="3"/>
        <v>600</v>
      </c>
      <c r="Q6" s="35">
        <f t="shared" si="1"/>
        <v>700</v>
      </c>
      <c r="R6" s="35">
        <f t="shared" si="1"/>
        <v>650</v>
      </c>
      <c r="S6" s="35">
        <f t="shared" si="1"/>
        <v>-4950</v>
      </c>
    </row>
    <row r="7" spans="1:19" ht="54" x14ac:dyDescent="0.6">
      <c r="A7" s="55" t="str">
        <f>Команды!A10</f>
        <v>Кроме шуток</v>
      </c>
      <c r="B7" s="6">
        <v>200</v>
      </c>
      <c r="C7" s="6">
        <f>Числа!G9</f>
        <v>300</v>
      </c>
      <c r="D7" s="6">
        <f>Преферанс!T8</f>
        <v>50</v>
      </c>
      <c r="E7" s="6">
        <v>800</v>
      </c>
      <c r="F7" s="6">
        <f>Разоблачение!F9</f>
        <v>-800</v>
      </c>
      <c r="G7" s="6">
        <f>Аукцион!J8</f>
        <v>2100</v>
      </c>
      <c r="H7" s="6">
        <f t="array" ref="H7">IF(ISNUMBER(G7),SUM(IF('Момент истины'!$B$2:$B$30=$A7,'Момент истины'!$D$2:$F$30)),"")</f>
        <v>-2650</v>
      </c>
      <c r="I7" s="4">
        <f>IF(ISNUMBER(B7),SUM(B7:H7),"")</f>
        <v>0</v>
      </c>
      <c r="M7" s="35">
        <f t="shared" si="2"/>
        <v>200</v>
      </c>
      <c r="N7" s="35">
        <f t="shared" si="1"/>
        <v>300</v>
      </c>
      <c r="O7" s="35">
        <f t="shared" si="1"/>
        <v>50</v>
      </c>
      <c r="P7" s="35">
        <f t="shared" si="3"/>
        <v>800</v>
      </c>
      <c r="Q7" s="35">
        <f t="shared" si="1"/>
        <v>-800</v>
      </c>
      <c r="R7" s="35">
        <f t="shared" si="1"/>
        <v>2100</v>
      </c>
      <c r="S7" s="35">
        <f t="shared" si="1"/>
        <v>-2650</v>
      </c>
    </row>
    <row r="8" spans="1:19" ht="54" x14ac:dyDescent="0.6">
      <c r="A8" s="55" t="str">
        <f>Команды!A9</f>
        <v>Авось</v>
      </c>
      <c r="B8" s="6">
        <v>100</v>
      </c>
      <c r="C8" s="6">
        <f>Числа!G8</f>
        <v>-200</v>
      </c>
      <c r="D8" s="6">
        <f>Преферанс!T7</f>
        <v>-300</v>
      </c>
      <c r="E8" s="6">
        <v>500</v>
      </c>
      <c r="F8" s="6">
        <f>Разоблачение!F8</f>
        <v>200</v>
      </c>
      <c r="G8" s="6">
        <f>Аукцион!J7</f>
        <v>2000</v>
      </c>
      <c r="H8" s="6">
        <f t="array" ref="H8">IF(ISNUMBER(G8),SUM(IF('Момент истины'!$B$2:$B$30=$A8,'Момент истины'!$D$2:$F$30)),"")</f>
        <v>-2300</v>
      </c>
      <c r="I8" s="4">
        <f>IF(ISNUMBER(B8),SUM(B8:H8),"")</f>
        <v>0</v>
      </c>
      <c r="M8" s="35">
        <f t="shared" si="2"/>
        <v>100</v>
      </c>
      <c r="N8" s="35">
        <f t="shared" si="1"/>
        <v>-200</v>
      </c>
      <c r="O8" s="35">
        <f t="shared" si="1"/>
        <v>-300</v>
      </c>
      <c r="P8" s="35">
        <f t="shared" si="3"/>
        <v>500</v>
      </c>
      <c r="Q8" s="35">
        <f t="shared" si="1"/>
        <v>200</v>
      </c>
      <c r="R8" s="35">
        <f t="shared" si="1"/>
        <v>2000</v>
      </c>
      <c r="S8" s="35">
        <f t="shared" si="1"/>
        <v>-2300</v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ref="I2:I17" si="4">IF(ISNUMBER(B9),SUM(B9:H9),"")</f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8">
    <sortCondition descending="1" ref="I1:I8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7" sqref="F7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400</v>
      </c>
      <c r="C3" s="6">
        <v>400</v>
      </c>
      <c r="D3" s="6">
        <v>300</v>
      </c>
      <c r="E3" s="6">
        <v>100</v>
      </c>
      <c r="F3" s="6">
        <v>400</v>
      </c>
      <c r="G3" s="4">
        <f>IF(ISNUMBER(B3),SUM(B3:F3),"")</f>
        <v>1600</v>
      </c>
    </row>
    <row r="4" spans="1:7" ht="54" x14ac:dyDescent="0.6">
      <c r="A4" s="56" t="str">
        <f>Команды!A5</f>
        <v>Тихая дружба с овощем</v>
      </c>
      <c r="B4" s="6">
        <v>300</v>
      </c>
      <c r="C4" s="6">
        <v>200</v>
      </c>
      <c r="D4" s="6">
        <v>400</v>
      </c>
      <c r="E4" s="6">
        <v>300</v>
      </c>
      <c r="F4" s="6">
        <v>300</v>
      </c>
      <c r="G4" s="4">
        <f t="shared" ref="G4:G18" si="0">IF(ISNUMBER(B4),SUM(B4:F4),"")</f>
        <v>1500</v>
      </c>
    </row>
    <row r="5" spans="1:7" ht="54" x14ac:dyDescent="0.6">
      <c r="A5" s="56" t="str">
        <f>Команды!A6</f>
        <v>Суровая реальность</v>
      </c>
      <c r="B5" s="6">
        <v>500</v>
      </c>
      <c r="C5" s="6">
        <v>300</v>
      </c>
      <c r="D5" s="6">
        <v>500</v>
      </c>
      <c r="E5" s="6">
        <v>500</v>
      </c>
      <c r="F5" s="6">
        <v>200</v>
      </c>
      <c r="G5" s="4">
        <f t="shared" si="0"/>
        <v>2000</v>
      </c>
    </row>
    <row r="6" spans="1:7" ht="54" x14ac:dyDescent="0.6">
      <c r="A6" s="56" t="str">
        <f>Команды!A7</f>
        <v>Остров предположений</v>
      </c>
      <c r="B6" s="6">
        <v>100</v>
      </c>
      <c r="C6" s="6">
        <v>100</v>
      </c>
      <c r="D6" s="6">
        <v>0</v>
      </c>
      <c r="E6" s="6">
        <v>400</v>
      </c>
      <c r="F6" s="6">
        <v>500</v>
      </c>
      <c r="G6" s="4">
        <f t="shared" si="0"/>
        <v>1100</v>
      </c>
    </row>
    <row r="7" spans="1:7" ht="54" x14ac:dyDescent="0.6">
      <c r="A7" s="56" t="str">
        <f>Команды!A8</f>
        <v>Тов Слоникян</v>
      </c>
      <c r="B7" s="6">
        <v>0</v>
      </c>
      <c r="C7" s="6">
        <v>500</v>
      </c>
      <c r="D7" s="6">
        <v>200</v>
      </c>
      <c r="E7" s="6">
        <v>0</v>
      </c>
      <c r="F7" s="6"/>
      <c r="G7" s="4">
        <f t="shared" si="0"/>
        <v>700</v>
      </c>
    </row>
    <row r="8" spans="1:7" ht="54" x14ac:dyDescent="0.6">
      <c r="A8" s="56" t="str">
        <f>Команды!A9</f>
        <v>Авось</v>
      </c>
      <c r="B8" s="6">
        <v>-100</v>
      </c>
      <c r="C8" s="6">
        <v>-100</v>
      </c>
      <c r="D8" s="6">
        <v>-100</v>
      </c>
      <c r="E8" s="6">
        <v>200</v>
      </c>
      <c r="F8" s="6">
        <v>-100</v>
      </c>
      <c r="G8" s="4">
        <f t="shared" si="0"/>
        <v>-200</v>
      </c>
    </row>
    <row r="9" spans="1:7" ht="54" x14ac:dyDescent="0.6">
      <c r="A9" s="56" t="str">
        <f>Команды!A10</f>
        <v>Кроме шуток</v>
      </c>
      <c r="B9" s="6">
        <v>200</v>
      </c>
      <c r="C9" s="6">
        <v>0</v>
      </c>
      <c r="D9" s="6">
        <v>100</v>
      </c>
      <c r="E9" s="6">
        <v>-100</v>
      </c>
      <c r="F9" s="6">
        <v>100</v>
      </c>
      <c r="G9" s="4">
        <f t="shared" si="0"/>
        <v>300</v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F9" sqref="F9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1</v>
      </c>
      <c r="D2" s="3">
        <v>1</v>
      </c>
      <c r="E2" s="3">
        <v>1</v>
      </c>
      <c r="F2" s="3">
        <v>0</v>
      </c>
      <c r="G2" s="3">
        <v>1</v>
      </c>
      <c r="H2" s="3">
        <v>1</v>
      </c>
      <c r="I2" s="3">
        <v>1</v>
      </c>
      <c r="J2" s="4">
        <f t="shared" ref="J2:J17" si="0">IF(B2&gt;0,SUM(C2:I2),TEXT("",1))</f>
        <v>6</v>
      </c>
      <c r="O2" s="37"/>
      <c r="P2" s="38"/>
      <c r="Q2" s="38">
        <f>IF(AND(B2=4,J2&gt;=4),500,IF(AND(B2=5,J2&gt;=5),1000,IF(AND(B2=6,J2&gt;=6),2000,IF(AND(B2=7,J2&gt;=7),4000,IF(AND(B2&gt;J2),0,IF(AND(B2=0),0))))))</f>
        <v>1000</v>
      </c>
      <c r="R2" s="38">
        <f>J2*100</f>
        <v>600</v>
      </c>
      <c r="S2" s="38">
        <f>IF(AND(B2&gt;J2),(B2-J2)*250,IF(AND(B2&lt;=J2),0))</f>
        <v>0</v>
      </c>
      <c r="T2" s="38">
        <f>IF(B2&gt;0,SUM(Q2:R2,-S2),"")</f>
        <v>1600</v>
      </c>
      <c r="U2" s="38">
        <f>SUM(J2,COUNTBLANK(C2:I2))</f>
        <v>6</v>
      </c>
    </row>
    <row r="3" spans="1:21" ht="55.25" customHeight="1" x14ac:dyDescent="0.6">
      <c r="A3" s="55" t="str">
        <f>Команды!A5</f>
        <v>Тихая дружба с овощем</v>
      </c>
      <c r="B3" s="4">
        <v>6</v>
      </c>
      <c r="C3" s="3">
        <v>1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0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500</v>
      </c>
      <c r="T3" s="38">
        <f t="shared" ref="T3:T23" si="4">IF(B3&gt;0,SUM(Q3:R3,-S3),"")</f>
        <v>-100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5</v>
      </c>
      <c r="C4" s="3">
        <v>1</v>
      </c>
      <c r="D4" s="3">
        <v>0</v>
      </c>
      <c r="E4" s="3">
        <v>1</v>
      </c>
      <c r="F4" s="3">
        <v>1</v>
      </c>
      <c r="G4" s="3">
        <v>0</v>
      </c>
      <c r="H4" s="3">
        <v>1</v>
      </c>
      <c r="I4" s="3">
        <v>1</v>
      </c>
      <c r="J4" s="4">
        <f t="shared" si="0"/>
        <v>5</v>
      </c>
      <c r="O4" s="37"/>
      <c r="P4" s="38"/>
      <c r="Q4" s="38">
        <f t="shared" si="1"/>
        <v>1000</v>
      </c>
      <c r="R4" s="38">
        <f t="shared" si="2"/>
        <v>500</v>
      </c>
      <c r="S4" s="38">
        <f t="shared" si="3"/>
        <v>0</v>
      </c>
      <c r="T4" s="38">
        <f t="shared" si="4"/>
        <v>1500</v>
      </c>
      <c r="U4" s="38">
        <f t="shared" si="5"/>
        <v>5</v>
      </c>
    </row>
    <row r="5" spans="1:21" ht="55.25" customHeight="1" x14ac:dyDescent="0.6">
      <c r="A5" s="55" t="str">
        <f>Команды!A7</f>
        <v>Остров предположений</v>
      </c>
      <c r="B5" s="4">
        <v>5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1</v>
      </c>
      <c r="I5" s="3">
        <v>1</v>
      </c>
      <c r="J5" s="4">
        <f t="shared" si="0"/>
        <v>4</v>
      </c>
      <c r="O5" s="37"/>
      <c r="P5" s="38"/>
      <c r="Q5" s="38">
        <f t="shared" si="1"/>
        <v>0</v>
      </c>
      <c r="R5" s="38">
        <f t="shared" si="2"/>
        <v>400</v>
      </c>
      <c r="S5" s="38">
        <f t="shared" si="3"/>
        <v>250</v>
      </c>
      <c r="T5" s="38">
        <f t="shared" si="4"/>
        <v>150</v>
      </c>
      <c r="U5" s="38">
        <f t="shared" si="5"/>
        <v>4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1</v>
      </c>
      <c r="E6" s="3">
        <v>0</v>
      </c>
      <c r="F6" s="3">
        <v>0</v>
      </c>
      <c r="G6" s="3">
        <v>0</v>
      </c>
      <c r="H6" s="3">
        <v>1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0</v>
      </c>
      <c r="J7" s="4">
        <f t="shared" si="0"/>
        <v>2</v>
      </c>
      <c r="O7" s="37"/>
      <c r="P7" s="38"/>
      <c r="Q7" s="38">
        <f t="shared" si="1"/>
        <v>0</v>
      </c>
      <c r="R7" s="38">
        <f t="shared" si="2"/>
        <v>200</v>
      </c>
      <c r="S7" s="38">
        <f t="shared" si="3"/>
        <v>500</v>
      </c>
      <c r="T7" s="38">
        <f t="shared" si="4"/>
        <v>-300</v>
      </c>
      <c r="U7" s="38">
        <f t="shared" si="5"/>
        <v>2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0</v>
      </c>
      <c r="D8" s="3">
        <v>1</v>
      </c>
      <c r="E8" s="3">
        <v>0</v>
      </c>
      <c r="F8" s="3">
        <v>0</v>
      </c>
      <c r="G8" s="3">
        <v>0</v>
      </c>
      <c r="H8" s="3">
        <v>1</v>
      </c>
      <c r="I8" s="3">
        <v>1</v>
      </c>
      <c r="J8" s="4">
        <f t="shared" si="0"/>
        <v>3</v>
      </c>
      <c r="O8" s="37"/>
      <c r="P8" s="38"/>
      <c r="Q8" s="38">
        <f t="shared" si="1"/>
        <v>0</v>
      </c>
      <c r="R8" s="38">
        <f t="shared" si="2"/>
        <v>300</v>
      </c>
      <c r="S8" s="38">
        <f t="shared" si="3"/>
        <v>250</v>
      </c>
      <c r="T8" s="38">
        <f t="shared" si="4"/>
        <v>50</v>
      </c>
      <c r="U8" s="38">
        <f t="shared" si="5"/>
        <v>3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6" sqref="E6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-300</v>
      </c>
      <c r="C3" s="6">
        <v>700</v>
      </c>
      <c r="D3" s="6">
        <v>100</v>
      </c>
      <c r="E3" s="6">
        <v>200</v>
      </c>
      <c r="F3" s="4">
        <f>IF(ISNUMBER(B3),SUM(B3:E3),"")</f>
        <v>700</v>
      </c>
    </row>
    <row r="4" spans="1:6" ht="54" x14ac:dyDescent="0.6">
      <c r="A4" s="56" t="str">
        <f>Команды!A5</f>
        <v>Тихая дружба с овощем</v>
      </c>
      <c r="B4" s="6">
        <v>-400</v>
      </c>
      <c r="C4" s="6">
        <v>700</v>
      </c>
      <c r="D4" s="6">
        <v>-200</v>
      </c>
      <c r="E4" s="6">
        <v>100</v>
      </c>
      <c r="F4" s="4">
        <f t="shared" ref="F4:F18" si="0">IF(ISNUMBER(B4),SUM(B4:E4),"")</f>
        <v>200</v>
      </c>
    </row>
    <row r="5" spans="1:6" ht="54" x14ac:dyDescent="0.6">
      <c r="A5" s="56" t="str">
        <f>Команды!A6</f>
        <v>Суровая реальность</v>
      </c>
      <c r="B5" s="6">
        <v>-400</v>
      </c>
      <c r="C5" s="6">
        <v>700</v>
      </c>
      <c r="D5" s="6">
        <v>-200</v>
      </c>
      <c r="E5" s="6">
        <v>-400</v>
      </c>
      <c r="F5" s="4">
        <f t="shared" si="0"/>
        <v>-300</v>
      </c>
    </row>
    <row r="6" spans="1:6" ht="54" x14ac:dyDescent="0.6">
      <c r="A6" s="56" t="str">
        <f>Команды!A7</f>
        <v>Остров предположений</v>
      </c>
      <c r="B6" s="6">
        <v>-400</v>
      </c>
      <c r="C6" s="6">
        <v>700</v>
      </c>
      <c r="D6" s="6">
        <v>-200</v>
      </c>
      <c r="E6" s="6">
        <v>200</v>
      </c>
      <c r="F6" s="4">
        <f t="shared" si="0"/>
        <v>300</v>
      </c>
    </row>
    <row r="7" spans="1:6" ht="54" x14ac:dyDescent="0.6">
      <c r="A7" s="56" t="str">
        <f>Команды!A8</f>
        <v>Тов Слоникян</v>
      </c>
      <c r="B7" s="6">
        <v>-300</v>
      </c>
      <c r="C7" s="6">
        <v>700</v>
      </c>
      <c r="D7" s="6">
        <v>200</v>
      </c>
      <c r="E7" s="6">
        <v>200</v>
      </c>
      <c r="F7" s="4">
        <f t="shared" si="0"/>
        <v>800</v>
      </c>
    </row>
    <row r="8" spans="1:6" ht="54" x14ac:dyDescent="0.6">
      <c r="A8" s="56" t="str">
        <f>Команды!A9</f>
        <v>Авось</v>
      </c>
      <c r="B8" s="6">
        <v>-500</v>
      </c>
      <c r="C8" s="6">
        <v>700</v>
      </c>
      <c r="D8" s="6">
        <v>-100</v>
      </c>
      <c r="E8" s="6">
        <v>100</v>
      </c>
      <c r="F8" s="4">
        <f t="shared" si="0"/>
        <v>200</v>
      </c>
    </row>
    <row r="9" spans="1:6" ht="54" x14ac:dyDescent="0.6">
      <c r="A9" s="56" t="str">
        <f>Команды!A10</f>
        <v>Кроме шуток</v>
      </c>
      <c r="B9" s="6">
        <v>-400</v>
      </c>
      <c r="C9" s="6">
        <v>-300</v>
      </c>
      <c r="D9" s="6">
        <v>-200</v>
      </c>
      <c r="E9" s="6">
        <v>100</v>
      </c>
      <c r="F9" s="4">
        <f t="shared" si="0"/>
        <v>-800</v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5" zoomScaleNormal="55" workbookViewId="0">
      <selection activeCell="I2" sqref="H2:I8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900</v>
      </c>
      <c r="D2" s="8">
        <v>-100</v>
      </c>
      <c r="E2" s="40">
        <v>1000</v>
      </c>
      <c r="F2" s="8">
        <v>-1300</v>
      </c>
      <c r="G2" s="40">
        <v>450</v>
      </c>
      <c r="H2" s="8">
        <v>-1700</v>
      </c>
      <c r="I2" s="40">
        <v>1500</v>
      </c>
      <c r="J2" s="9">
        <f>IF(ISNUMBER(B2),ROUND(SUM(B2:I2)/100,1)*100,"")</f>
        <v>650</v>
      </c>
      <c r="K2" s="33"/>
      <c r="L2" s="54">
        <f>VLOOKUP(A2,'Общая таблица'!$A:$I,9,0)</f>
        <v>0</v>
      </c>
      <c r="M2" s="21"/>
      <c r="N2" s="39"/>
      <c r="O2" s="21"/>
      <c r="Q2" s="34">
        <f>VLOOKUP(A2,'Общая таблица'!A:I,9,0)</f>
        <v>0</v>
      </c>
    </row>
    <row r="3" spans="1:17" ht="55.25" customHeight="1" x14ac:dyDescent="0.6">
      <c r="A3" s="48" t="str">
        <f>Команды!A5</f>
        <v>Тихая дружба с овощем</v>
      </c>
      <c r="B3" s="8">
        <v>-1100</v>
      </c>
      <c r="C3" s="40">
        <v>2600</v>
      </c>
      <c r="D3" s="8">
        <v>-1000</v>
      </c>
      <c r="E3" s="40">
        <v>2000</v>
      </c>
      <c r="F3" s="8">
        <v>-1300</v>
      </c>
      <c r="G3" s="40">
        <v>1200</v>
      </c>
      <c r="H3" s="8">
        <v>-1500</v>
      </c>
      <c r="I3" s="40">
        <v>800</v>
      </c>
      <c r="J3" s="9">
        <f t="shared" ref="J3:J17" si="0">IF(ISNUMBER(B3),ROUND(SUM(B3:I3)/100,1)*100,"")</f>
        <v>1700</v>
      </c>
      <c r="K3" s="46"/>
      <c r="L3" s="54">
        <f>VLOOKUP(A3,'Общая таблица'!$A:$I,9,0)</f>
        <v>600</v>
      </c>
      <c r="M3" s="16"/>
      <c r="N3" s="16"/>
      <c r="O3" s="16"/>
      <c r="Q3" s="34">
        <f>VLOOKUP(A3,'Общая таблица'!A:I,9,0)</f>
        <v>600</v>
      </c>
    </row>
    <row r="4" spans="1:17" ht="55.25" customHeight="1" x14ac:dyDescent="0.6">
      <c r="A4" s="48" t="str">
        <f>Команды!A6</f>
        <v>Суровая реальность</v>
      </c>
      <c r="B4" s="8">
        <v>-1400</v>
      </c>
      <c r="C4" s="40">
        <v>2250</v>
      </c>
      <c r="D4" s="8">
        <v>-700</v>
      </c>
      <c r="E4" s="40">
        <v>1500</v>
      </c>
      <c r="F4" s="8">
        <v>-1500</v>
      </c>
      <c r="G4" s="40">
        <v>2500</v>
      </c>
      <c r="H4" s="8">
        <v>-1600</v>
      </c>
      <c r="I4" s="40">
        <v>1600</v>
      </c>
      <c r="J4" s="9">
        <f t="shared" si="0"/>
        <v>2650</v>
      </c>
      <c r="K4" s="46"/>
      <c r="L4" s="54">
        <f>VLOOKUP(A4,'Общая таблица'!$A:$I,9,0)</f>
        <v>26</v>
      </c>
      <c r="M4" s="16"/>
      <c r="N4" s="16"/>
      <c r="O4" s="16"/>
      <c r="Q4" s="34">
        <f>VLOOKUP(A4,'Общая таблица'!A:I,9,0)</f>
        <v>26</v>
      </c>
    </row>
    <row r="5" spans="1:17" ht="55.25" customHeight="1" x14ac:dyDescent="0.6">
      <c r="A5" s="48" t="str">
        <f>Команды!A7</f>
        <v>Остров предположений</v>
      </c>
      <c r="B5" s="8">
        <v>-500</v>
      </c>
      <c r="C5" s="40">
        <v>1350</v>
      </c>
      <c r="D5" s="8">
        <v>-1200</v>
      </c>
      <c r="E5" s="40">
        <v>2500</v>
      </c>
      <c r="F5" s="8">
        <v>-1200</v>
      </c>
      <c r="G5" s="40">
        <v>500</v>
      </c>
      <c r="H5" s="8">
        <v>-1500</v>
      </c>
      <c r="I5" s="40">
        <v>1350</v>
      </c>
      <c r="J5" s="9">
        <f t="shared" si="0"/>
        <v>1300</v>
      </c>
      <c r="K5" s="46"/>
      <c r="L5" s="54">
        <f>VLOOKUP(A5,'Общая таблица'!$A:$I,9,0)</f>
        <v>6600</v>
      </c>
      <c r="Q5" s="34">
        <f>VLOOKUP(A5,'Общая таблица'!A:I,9,0)</f>
        <v>6600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1100</v>
      </c>
      <c r="D6" s="8">
        <v>-100</v>
      </c>
      <c r="E6" s="40">
        <v>1000</v>
      </c>
      <c r="F6" s="8">
        <v>-100</v>
      </c>
      <c r="G6" s="40">
        <v>1000</v>
      </c>
      <c r="H6" s="8">
        <v>-100</v>
      </c>
      <c r="I6" s="40">
        <v>600</v>
      </c>
      <c r="J6" s="9">
        <f t="shared" si="0"/>
        <v>3300</v>
      </c>
      <c r="K6" s="46"/>
      <c r="L6" s="54">
        <f>VLOOKUP(A6,'Общая таблица'!$A:$I,9,0)</f>
        <v>200</v>
      </c>
      <c r="Q6" s="34">
        <f>VLOOKUP(A6,'Общая таблица'!A:I,9,0)</f>
        <v>200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800</v>
      </c>
      <c r="D7" s="8">
        <v>-100</v>
      </c>
      <c r="E7" s="40">
        <v>1000</v>
      </c>
      <c r="F7" s="8">
        <v>-100</v>
      </c>
      <c r="G7" s="40">
        <v>500</v>
      </c>
      <c r="H7" s="8">
        <v>-800</v>
      </c>
      <c r="I7" s="40">
        <v>800</v>
      </c>
      <c r="J7" s="9">
        <f t="shared" si="0"/>
        <v>2000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Кроме шуток</v>
      </c>
      <c r="B8" s="8">
        <v>-100</v>
      </c>
      <c r="C8" s="40">
        <v>800</v>
      </c>
      <c r="D8" s="8">
        <v>-100</v>
      </c>
      <c r="E8" s="40">
        <v>600</v>
      </c>
      <c r="F8" s="8">
        <v>-100</v>
      </c>
      <c r="G8" s="40">
        <v>1000</v>
      </c>
      <c r="H8" s="8">
        <v>-100</v>
      </c>
      <c r="I8" s="40">
        <v>100</v>
      </c>
      <c r="J8" s="9">
        <f t="shared" si="0"/>
        <v>2100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-1400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-500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D2" sqref="D2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Команды!A7</f>
        <v>Остров предположений</v>
      </c>
      <c r="C2" s="1">
        <f t="array" ref="C2">SUM(IF('Общая таблица'!$A$2:$A$30=$B2,'Общая таблица'!$B$2:$G$30))</f>
        <v>3350</v>
      </c>
      <c r="D2" s="6">
        <v>3300</v>
      </c>
      <c r="E2" s="6">
        <v>-25</v>
      </c>
      <c r="F2" s="6">
        <v>-25</v>
      </c>
      <c r="G2" s="5">
        <f>IF(ISNUMBER('Общая таблица'!B5),SUM(C2:F2),"")</f>
        <v>6600</v>
      </c>
      <c r="H2" s="53">
        <f>SUM(D2:F2)</f>
        <v>3250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Команды!A5</f>
        <v>Тихая дружба с овощем</v>
      </c>
      <c r="C3" s="1">
        <f t="array" ref="C3">SUM(IF('Общая таблица'!$A$2:$A$30=$B3,'Общая таблица'!$B$2:$G$30))</f>
        <v>4800</v>
      </c>
      <c r="D3" s="6">
        <v>200</v>
      </c>
      <c r="E3" s="6">
        <v>-4500</v>
      </c>
      <c r="F3" s="6">
        <v>100</v>
      </c>
      <c r="G3" s="5">
        <f>IF(ISNUMBER('Общая таблица'!B3),SUM(C3:F3),"")</f>
        <v>600</v>
      </c>
      <c r="H3" s="53">
        <f t="shared" ref="H3:H17" si="0">SUM(D3:F3)</f>
        <v>-4200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Команды!A8</f>
        <v>Тов Слоникян</v>
      </c>
      <c r="C4" s="1">
        <f t="array" ref="C4">SUM(IF('Общая таблица'!$A$2:$A$30=$B4,'Общая таблица'!$B$2:$G$30))</f>
        <v>6150</v>
      </c>
      <c r="D4" s="6">
        <v>-50</v>
      </c>
      <c r="E4" s="6">
        <v>-6000</v>
      </c>
      <c r="F4" s="6">
        <v>100</v>
      </c>
      <c r="G4" s="5">
        <f>IF(ISNUMBER('Общая таблица'!B6),SUM(C4:F4),"")</f>
        <v>200</v>
      </c>
      <c r="H4" s="53">
        <f t="shared" si="0"/>
        <v>-5950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Команды!A6</f>
        <v>Суровая реальность</v>
      </c>
      <c r="C5" s="1">
        <f t="array" ref="C5">SUM(IF('Общая таблица'!$A$2:$A$30=$B5,'Общая таблица'!$B$2:$G$30))</f>
        <v>7350</v>
      </c>
      <c r="D5" s="6">
        <v>13</v>
      </c>
      <c r="E5" s="6">
        <v>-2387</v>
      </c>
      <c r="F5" s="6">
        <v>-4950</v>
      </c>
      <c r="G5" s="5">
        <f>IF(ISNUMBER('Общая таблица'!B4),SUM(C5:F5),"")</f>
        <v>26</v>
      </c>
      <c r="H5" s="53">
        <f t="shared" si="0"/>
        <v>-7324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4950</v>
      </c>
      <c r="D6" s="6">
        <v>-75</v>
      </c>
      <c r="E6" s="6">
        <v>-74</v>
      </c>
      <c r="F6" s="6">
        <v>-4801</v>
      </c>
      <c r="G6" s="5">
        <f>IF(ISNUMBER('Общая таблица'!B2),SUM(C6:F6),"")</f>
        <v>0</v>
      </c>
      <c r="H6" s="53">
        <f t="shared" si="0"/>
        <v>-4950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Команды!A10</f>
        <v>Кроме шуток</v>
      </c>
      <c r="C7" s="1">
        <f t="array" ref="C7">SUM(IF('Общая таблица'!$A$2:$A$30=$B7,'Общая таблица'!$B$2:$G$30))</f>
        <v>2650</v>
      </c>
      <c r="D7" s="6">
        <v>-850</v>
      </c>
      <c r="E7" s="6">
        <v>-900</v>
      </c>
      <c r="F7" s="6">
        <v>-900</v>
      </c>
      <c r="G7" s="5">
        <f>IF(ISNUMBER('Общая таблица'!B8),SUM(C7:F7),"")</f>
        <v>0</v>
      </c>
      <c r="H7" s="53">
        <f t="shared" si="0"/>
        <v>-2650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Команды!A9</f>
        <v>Авось</v>
      </c>
      <c r="C8" s="1">
        <f t="array" ref="C8">SUM(IF('Общая таблица'!$A$2:$A$30=$B8,'Общая таблица'!$B$2:$G$30))</f>
        <v>2300</v>
      </c>
      <c r="D8" s="6">
        <v>-2200</v>
      </c>
      <c r="E8" s="6">
        <v>-50</v>
      </c>
      <c r="F8" s="6">
        <v>-50</v>
      </c>
      <c r="G8" s="5">
        <f>IF(ISNUMBER('Общая таблица'!B7),SUM(C8:F8),"")</f>
        <v>0</v>
      </c>
      <c r="H8" s="53">
        <f t="shared" si="0"/>
        <v>-2300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8">
    <sortCondition descending="1" ref="G1:G8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8" sqref="A8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47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 t="s">
        <v>46</v>
      </c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2024-08-13T20:59:17Z</dcterms:modified>
</cp:coreProperties>
</file>