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lextager/Documents/БД игры/Winter 24/Game_7/"/>
    </mc:Choice>
  </mc:AlternateContent>
  <xr:revisionPtr revIDLastSave="0" documentId="13_ncr:1_{0CA763D2-6024-B440-A204-249E63A8F1D1}" xr6:coauthVersionLast="47" xr6:coauthVersionMax="47" xr10:uidLastSave="{00000000-0000-0000-0000-000000000000}"/>
  <bookViews>
    <workbookView xWindow="0" yWindow="0" windowWidth="25600" windowHeight="16000" tabRatio="690" activeTab="5" xr2:uid="{00000000-000D-0000-FFFF-FFFF00000000}"/>
  </bookViews>
  <sheets>
    <sheet name="Общая таблица" sheetId="1" r:id="rId1"/>
    <sheet name="Числа" sheetId="2" r:id="rId2"/>
    <sheet name="Преферанс" sheetId="4" r:id="rId3"/>
    <sheet name="Разоблачение" sheetId="3" r:id="rId4"/>
    <sheet name="Аукцион" sheetId="5" r:id="rId5"/>
    <sheet name="Момент истины" sheetId="6" r:id="rId6"/>
    <sheet name="Команды" sheetId="7" r:id="rId7"/>
    <sheet name="Список_автоматизаций" sheetId="8" state="hidden" r:id="rId8"/>
    <sheet name="преф" sheetId="9" r:id="rId9"/>
    <sheet name="разобл" sheetId="10" r:id="rId10"/>
    <sheet name="аук" sheetId="11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9" i="3" l="1"/>
  <c r="F19" i="3"/>
  <c r="A20" i="3"/>
  <c r="F20" i="3"/>
  <c r="F19" i="1" s="1"/>
  <c r="A21" i="3"/>
  <c r="F21" i="3"/>
  <c r="F20" i="1" s="1"/>
  <c r="A22" i="3"/>
  <c r="F22" i="3"/>
  <c r="F21" i="1" s="1"/>
  <c r="A18" i="4"/>
  <c r="J18" i="4"/>
  <c r="A19" i="4"/>
  <c r="J19" i="4"/>
  <c r="A20" i="4"/>
  <c r="J20" i="4"/>
  <c r="A21" i="4"/>
  <c r="J21" i="4"/>
  <c r="A22" i="4"/>
  <c r="J22" i="4"/>
  <c r="A23" i="4"/>
  <c r="J23" i="4"/>
  <c r="A24" i="4"/>
  <c r="J24" i="4"/>
  <c r="A25" i="4"/>
  <c r="J25" i="4"/>
  <c r="A26" i="4"/>
  <c r="J26" i="4"/>
  <c r="A19" i="2"/>
  <c r="G19" i="2"/>
  <c r="C18" i="1" s="1"/>
  <c r="A20" i="2"/>
  <c r="G20" i="2"/>
  <c r="C19" i="1" s="1"/>
  <c r="A21" i="2"/>
  <c r="G21" i="2"/>
  <c r="C20" i="1" s="1"/>
  <c r="A22" i="2"/>
  <c r="G22" i="2"/>
  <c r="A23" i="2"/>
  <c r="G23" i="2"/>
  <c r="A18" i="1"/>
  <c r="F18" i="1"/>
  <c r="I18" i="1"/>
  <c r="A19" i="1"/>
  <c r="I19" i="1"/>
  <c r="A20" i="1"/>
  <c r="I20" i="1"/>
  <c r="A21" i="1"/>
  <c r="C21" i="1"/>
  <c r="I21" i="1"/>
  <c r="B18" i="6"/>
  <c r="G18" i="6"/>
  <c r="H18" i="6"/>
  <c r="B19" i="6"/>
  <c r="G19" i="6"/>
  <c r="H19" i="6"/>
  <c r="B20" i="6"/>
  <c r="G20" i="6"/>
  <c r="H20" i="6"/>
  <c r="B21" i="6"/>
  <c r="G21" i="6"/>
  <c r="H21" i="6"/>
  <c r="A18" i="5"/>
  <c r="J18" i="5"/>
  <c r="G18" i="1" s="1"/>
  <c r="H18" i="1" s="1" a="1"/>
  <c r="H18" i="1" s="1"/>
  <c r="A19" i="5"/>
  <c r="J19" i="5"/>
  <c r="G19" i="1" s="1"/>
  <c r="H19" i="1" s="1" a="1"/>
  <c r="H19" i="1" s="1"/>
  <c r="A20" i="5"/>
  <c r="J20" i="5"/>
  <c r="G20" i="1" s="1"/>
  <c r="H20" i="1" s="1" a="1"/>
  <c r="H20" i="1" s="1"/>
  <c r="A21" i="5"/>
  <c r="J21" i="5"/>
  <c r="G21" i="1" s="1"/>
  <c r="H21" i="1" s="1" a="1"/>
  <c r="H21" i="1" s="1"/>
  <c r="B5" i="6"/>
  <c r="B4" i="6"/>
  <c r="B7" i="6"/>
  <c r="B8" i="6"/>
  <c r="B2" i="6"/>
  <c r="B3" i="6"/>
  <c r="B9" i="6"/>
  <c r="B10" i="6"/>
  <c r="B11" i="6"/>
  <c r="B12" i="6"/>
  <c r="B13" i="6"/>
  <c r="B14" i="6"/>
  <c r="B15" i="6"/>
  <c r="B16" i="6"/>
  <c r="B17" i="6"/>
  <c r="B6" i="6"/>
  <c r="I37" i="6" l="1"/>
  <c r="I36" i="6"/>
  <c r="I35" i="6"/>
  <c r="I34" i="6"/>
  <c r="I33" i="6"/>
  <c r="I32" i="6"/>
  <c r="I31" i="6"/>
  <c r="I30" i="6"/>
  <c r="I29" i="6"/>
  <c r="I28" i="6"/>
  <c r="I27" i="6"/>
  <c r="I26" i="6"/>
  <c r="I25" i="6"/>
  <c r="I24" i="6"/>
  <c r="I23" i="6"/>
  <c r="I22" i="6"/>
  <c r="A17" i="1" l="1"/>
  <c r="A16" i="1"/>
  <c r="A15" i="1"/>
  <c r="A14" i="1"/>
  <c r="A13" i="1"/>
  <c r="A12" i="1"/>
  <c r="A11" i="1"/>
  <c r="A10" i="1"/>
  <c r="A9" i="1"/>
  <c r="A3" i="1"/>
  <c r="A2" i="1"/>
  <c r="A8" i="1"/>
  <c r="A7" i="1"/>
  <c r="A4" i="1"/>
  <c r="A5" i="1"/>
  <c r="A6" i="1"/>
  <c r="T26" i="4" l="1"/>
  <c r="S26" i="4"/>
  <c r="T25" i="4"/>
  <c r="S25" i="4"/>
  <c r="T24" i="4"/>
  <c r="S24" i="4"/>
  <c r="Q26" i="4" l="1"/>
  <c r="U26" i="4"/>
  <c r="Q25" i="4"/>
  <c r="U25" i="4"/>
  <c r="R26" i="4"/>
  <c r="Q24" i="4"/>
  <c r="U24" i="4"/>
  <c r="R25" i="4"/>
  <c r="R24" i="4"/>
  <c r="J3" i="5"/>
  <c r="J4" i="5"/>
  <c r="J5" i="5"/>
  <c r="J6" i="5"/>
  <c r="J7" i="5"/>
  <c r="J8" i="5"/>
  <c r="J9" i="5"/>
  <c r="G9" i="1" s="1"/>
  <c r="H9" i="1" s="1" a="1"/>
  <c r="H9" i="1" s="1"/>
  <c r="J10" i="5"/>
  <c r="J11" i="5"/>
  <c r="J12" i="5"/>
  <c r="J13" i="5"/>
  <c r="J14" i="5"/>
  <c r="J15" i="5"/>
  <c r="J16" i="5"/>
  <c r="J17" i="5"/>
  <c r="J2" i="5"/>
  <c r="J2" i="4" l="1"/>
  <c r="T23" i="4" l="1"/>
  <c r="T22" i="4"/>
  <c r="P1" i="1"/>
  <c r="M1" i="1"/>
  <c r="P29" i="1" l="1"/>
  <c r="P25" i="1"/>
  <c r="P21" i="1"/>
  <c r="P17" i="1"/>
  <c r="P13" i="1"/>
  <c r="P9" i="1"/>
  <c r="P26" i="1"/>
  <c r="P14" i="1"/>
  <c r="P32" i="1"/>
  <c r="P28" i="1"/>
  <c r="P24" i="1"/>
  <c r="P20" i="1"/>
  <c r="P16" i="1"/>
  <c r="P12" i="1"/>
  <c r="P8" i="1"/>
  <c r="P18" i="1"/>
  <c r="P6" i="1"/>
  <c r="P31" i="1"/>
  <c r="P27" i="1"/>
  <c r="P23" i="1"/>
  <c r="P19" i="1"/>
  <c r="P15" i="1"/>
  <c r="P11" i="1"/>
  <c r="P30" i="1"/>
  <c r="P22" i="1"/>
  <c r="P10" i="1"/>
  <c r="M31" i="1"/>
  <c r="M27" i="1"/>
  <c r="M23" i="1"/>
  <c r="M19" i="1"/>
  <c r="M15" i="1"/>
  <c r="M11" i="1"/>
  <c r="M7" i="1"/>
  <c r="M3" i="1"/>
  <c r="M9" i="1"/>
  <c r="M28" i="1"/>
  <c r="M20" i="1"/>
  <c r="M12" i="1"/>
  <c r="M4" i="1"/>
  <c r="M30" i="1"/>
  <c r="M26" i="1"/>
  <c r="M22" i="1"/>
  <c r="M18" i="1"/>
  <c r="M14" i="1"/>
  <c r="M10" i="1"/>
  <c r="M6" i="1"/>
  <c r="M2" i="1"/>
  <c r="M29" i="1"/>
  <c r="M25" i="1"/>
  <c r="M21" i="1"/>
  <c r="M17" i="1"/>
  <c r="M13" i="1"/>
  <c r="M5" i="1"/>
  <c r="M32" i="1"/>
  <c r="M24" i="1"/>
  <c r="M16" i="1"/>
  <c r="M8" i="1"/>
  <c r="U23" i="4"/>
  <c r="U22" i="4"/>
  <c r="U21" i="4"/>
  <c r="U20" i="4"/>
  <c r="U19" i="4"/>
  <c r="U18" i="4"/>
  <c r="J17" i="4"/>
  <c r="U17" i="4" s="1"/>
  <c r="J16" i="4"/>
  <c r="U16" i="4" s="1"/>
  <c r="J15" i="4"/>
  <c r="U15" i="4" s="1"/>
  <c r="J14" i="4"/>
  <c r="U14" i="4" s="1"/>
  <c r="J13" i="4"/>
  <c r="U13" i="4" s="1"/>
  <c r="J12" i="4"/>
  <c r="U12" i="4" s="1"/>
  <c r="J11" i="4"/>
  <c r="U11" i="4" s="1"/>
  <c r="J10" i="4"/>
  <c r="U10" i="4" s="1"/>
  <c r="J9" i="4"/>
  <c r="U9" i="4" s="1"/>
  <c r="J8" i="4"/>
  <c r="U8" i="4" s="1"/>
  <c r="J7" i="4"/>
  <c r="U7" i="4" s="1"/>
  <c r="J6" i="4"/>
  <c r="U6" i="4" s="1"/>
  <c r="J5" i="4"/>
  <c r="U5" i="4" s="1"/>
  <c r="J4" i="4"/>
  <c r="U4" i="4" s="1"/>
  <c r="J3" i="4"/>
  <c r="U3" i="4" s="1"/>
  <c r="F18" i="3" l="1"/>
  <c r="F17" i="3"/>
  <c r="F16" i="3"/>
  <c r="F15" i="3"/>
  <c r="F14" i="3"/>
  <c r="F13" i="3"/>
  <c r="F12" i="3"/>
  <c r="F11" i="3"/>
  <c r="F10" i="3"/>
  <c r="F9" i="1" s="1"/>
  <c r="F9" i="3"/>
  <c r="F8" i="3"/>
  <c r="F7" i="3"/>
  <c r="F6" i="3"/>
  <c r="F5" i="3"/>
  <c r="F4" i="3"/>
  <c r="F3" i="3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C7" i="1" s="1"/>
  <c r="G5" i="2"/>
  <c r="G4" i="2"/>
  <c r="G3" i="2"/>
  <c r="C33" i="5" l="1"/>
  <c r="A42" i="5" l="1"/>
  <c r="B42" i="5" s="1"/>
  <c r="A46" i="5"/>
  <c r="B46" i="5" s="1"/>
  <c r="A43" i="5"/>
  <c r="B43" i="5" s="1"/>
  <c r="A40" i="5"/>
  <c r="B40" i="5" s="1"/>
  <c r="A44" i="5"/>
  <c r="B44" i="5" s="1"/>
  <c r="A41" i="5"/>
  <c r="B41" i="5" s="1"/>
  <c r="A45" i="5"/>
  <c r="B45" i="5" s="1"/>
  <c r="A39" i="5"/>
  <c r="B39" i="5" s="1"/>
  <c r="A38" i="5"/>
  <c r="B38" i="5" s="1"/>
  <c r="A35" i="5"/>
  <c r="A37" i="5"/>
  <c r="B37" i="5" s="1"/>
  <c r="A36" i="5"/>
  <c r="B36" i="5" s="1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2" i="6"/>
  <c r="A16" i="5"/>
  <c r="A17" i="5"/>
  <c r="A16" i="4"/>
  <c r="Q16" i="4"/>
  <c r="A17" i="4"/>
  <c r="S17" i="4"/>
  <c r="R18" i="4"/>
  <c r="Q19" i="4"/>
  <c r="S19" i="4"/>
  <c r="Q20" i="4"/>
  <c r="S20" i="4"/>
  <c r="S21" i="4"/>
  <c r="R22" i="4"/>
  <c r="Q23" i="4"/>
  <c r="R23" i="4"/>
  <c r="A17" i="3"/>
  <c r="F16" i="1"/>
  <c r="A18" i="3"/>
  <c r="F17" i="1"/>
  <c r="A17" i="2"/>
  <c r="A18" i="2"/>
  <c r="C17" i="1"/>
  <c r="C16" i="1"/>
  <c r="C4" i="1"/>
  <c r="C3" i="1"/>
  <c r="C11" i="1"/>
  <c r="C12" i="1"/>
  <c r="C8" i="1"/>
  <c r="C14" i="1"/>
  <c r="A3" i="5"/>
  <c r="A4" i="5"/>
  <c r="A5" i="5"/>
  <c r="A6" i="5"/>
  <c r="A7" i="5"/>
  <c r="A8" i="5"/>
  <c r="A9" i="5"/>
  <c r="A10" i="5"/>
  <c r="A11" i="5"/>
  <c r="A12" i="5"/>
  <c r="A13" i="5"/>
  <c r="A14" i="5"/>
  <c r="A15" i="5"/>
  <c r="A2" i="5"/>
  <c r="A3" i="4"/>
  <c r="A4" i="4"/>
  <c r="A5" i="4"/>
  <c r="A6" i="4"/>
  <c r="A7" i="4"/>
  <c r="A8" i="4"/>
  <c r="A9" i="4"/>
  <c r="A10" i="4"/>
  <c r="A11" i="4"/>
  <c r="A12" i="4"/>
  <c r="A13" i="4"/>
  <c r="A14" i="4"/>
  <c r="A15" i="4"/>
  <c r="A2" i="4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3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3" i="2"/>
  <c r="Q11" i="4"/>
  <c r="Q12" i="4"/>
  <c r="R13" i="4"/>
  <c r="S14" i="4"/>
  <c r="Q15" i="4"/>
  <c r="F11" i="1"/>
  <c r="F12" i="1"/>
  <c r="F13" i="1"/>
  <c r="F14" i="1"/>
  <c r="F15" i="1"/>
  <c r="R10" i="4"/>
  <c r="R9" i="4"/>
  <c r="Q8" i="4"/>
  <c r="R7" i="4"/>
  <c r="R5" i="4"/>
  <c r="F10" i="1"/>
  <c r="F3" i="1"/>
  <c r="F2" i="1"/>
  <c r="F8" i="1"/>
  <c r="F7" i="1"/>
  <c r="F4" i="1"/>
  <c r="P2" i="1" s="1"/>
  <c r="F5" i="1"/>
  <c r="F6" i="1"/>
  <c r="P7" i="1" l="1"/>
  <c r="P5" i="1"/>
  <c r="P4" i="1"/>
  <c r="P3" i="1"/>
  <c r="Q1" i="1"/>
  <c r="B35" i="5"/>
  <c r="A48" i="5"/>
  <c r="R6" i="4"/>
  <c r="Q4" i="4"/>
  <c r="S3" i="4"/>
  <c r="R2" i="4"/>
  <c r="U2" i="4"/>
  <c r="R20" i="4"/>
  <c r="T20" i="4" s="1"/>
  <c r="D20" i="1" s="1"/>
  <c r="S18" i="4"/>
  <c r="G8" i="1"/>
  <c r="H8" i="1" s="1" a="1"/>
  <c r="H8" i="1" s="1"/>
  <c r="G10" i="1"/>
  <c r="H10" i="1" s="1" a="1"/>
  <c r="H10" i="1" s="1"/>
  <c r="G14" i="1"/>
  <c r="H14" i="1" s="1" a="1"/>
  <c r="H14" i="1" s="1"/>
  <c r="G5" i="1"/>
  <c r="H5" i="1" s="1" a="1"/>
  <c r="H5" i="1" s="1"/>
  <c r="G17" i="1"/>
  <c r="H17" i="1" s="1" a="1"/>
  <c r="H17" i="1" s="1"/>
  <c r="G13" i="1"/>
  <c r="H13" i="1" s="1" a="1"/>
  <c r="H13" i="1" s="1"/>
  <c r="G7" i="1"/>
  <c r="H7" i="1" s="1" a="1"/>
  <c r="H7" i="1" s="1"/>
  <c r="G16" i="1"/>
  <c r="H16" i="1" s="1" a="1"/>
  <c r="H16" i="1" s="1"/>
  <c r="G12" i="1"/>
  <c r="H12" i="1" s="1" a="1"/>
  <c r="H12" i="1" s="1"/>
  <c r="G3" i="1"/>
  <c r="H3" i="1" s="1" a="1"/>
  <c r="H3" i="1" s="1"/>
  <c r="G4" i="1"/>
  <c r="H4" i="1" s="1" a="1"/>
  <c r="H4" i="1" s="1"/>
  <c r="G15" i="1"/>
  <c r="H15" i="1" s="1" a="1"/>
  <c r="H15" i="1" s="1"/>
  <c r="G11" i="1"/>
  <c r="H11" i="1" s="1" a="1"/>
  <c r="H11" i="1" s="1"/>
  <c r="G2" i="1"/>
  <c r="H2" i="1" s="1" a="1"/>
  <c r="H2" i="1" s="1"/>
  <c r="R19" i="4"/>
  <c r="T19" i="4" s="1"/>
  <c r="D19" i="1" s="1"/>
  <c r="S16" i="4"/>
  <c r="S23" i="4"/>
  <c r="S22" i="4"/>
  <c r="R16" i="4"/>
  <c r="Q21" i="4"/>
  <c r="Q17" i="4"/>
  <c r="Q22" i="4"/>
  <c r="R21" i="4"/>
  <c r="Q18" i="4"/>
  <c r="R17" i="4"/>
  <c r="R8" i="4"/>
  <c r="R4" i="4"/>
  <c r="S7" i="4"/>
  <c r="Q7" i="4"/>
  <c r="Q3" i="4"/>
  <c r="S15" i="4"/>
  <c r="R14" i="4"/>
  <c r="Q13" i="4"/>
  <c r="S11" i="4"/>
  <c r="S10" i="4"/>
  <c r="S6" i="4"/>
  <c r="Q10" i="4"/>
  <c r="Q6" i="4"/>
  <c r="R15" i="4"/>
  <c r="Q14" i="4"/>
  <c r="T14" i="4" s="1"/>
  <c r="D14" i="1" s="1"/>
  <c r="S12" i="4"/>
  <c r="R11" i="4"/>
  <c r="Q2" i="4"/>
  <c r="S9" i="4"/>
  <c r="S5" i="4"/>
  <c r="Q9" i="4"/>
  <c r="Q5" i="4"/>
  <c r="S13" i="4"/>
  <c r="R12" i="4"/>
  <c r="S8" i="4"/>
  <c r="T8" i="4" s="1"/>
  <c r="D3" i="1" s="1"/>
  <c r="S4" i="4"/>
  <c r="C6" i="1"/>
  <c r="C10" i="1"/>
  <c r="C15" i="1"/>
  <c r="C13" i="1"/>
  <c r="C9" i="1"/>
  <c r="C2" i="1"/>
  <c r="C5" i="1"/>
  <c r="R3" i="4"/>
  <c r="S2" i="4"/>
  <c r="T9" i="4" l="1"/>
  <c r="D9" i="1" s="1"/>
  <c r="I9" i="1" s="1"/>
  <c r="T21" i="4"/>
  <c r="T16" i="4"/>
  <c r="D16" i="1" s="1"/>
  <c r="T15" i="4"/>
  <c r="D15" i="1" s="1"/>
  <c r="T11" i="4"/>
  <c r="D11" i="1" s="1"/>
  <c r="T12" i="4"/>
  <c r="D12" i="1" s="1"/>
  <c r="T17" i="4"/>
  <c r="D17" i="1" s="1"/>
  <c r="T13" i="4"/>
  <c r="D13" i="1" s="1"/>
  <c r="T18" i="4"/>
  <c r="T10" i="4"/>
  <c r="D10" i="1" s="1"/>
  <c r="I3" i="1"/>
  <c r="I13" i="1"/>
  <c r="I10" i="1"/>
  <c r="I15" i="1"/>
  <c r="G15" i="6"/>
  <c r="I17" i="1"/>
  <c r="I14" i="1"/>
  <c r="I11" i="1"/>
  <c r="I12" i="1"/>
  <c r="I16" i="1"/>
  <c r="T5" i="4"/>
  <c r="D7" i="1" s="1"/>
  <c r="Q31" i="1"/>
  <c r="Q29" i="1"/>
  <c r="Q27" i="1"/>
  <c r="Q25" i="1"/>
  <c r="Q23" i="1"/>
  <c r="Q21" i="1"/>
  <c r="Q19" i="1"/>
  <c r="Q17" i="1"/>
  <c r="Q15" i="1"/>
  <c r="Q13" i="1"/>
  <c r="Q11" i="1"/>
  <c r="Q9" i="1"/>
  <c r="Q7" i="1"/>
  <c r="Q5" i="1"/>
  <c r="Q3" i="1"/>
  <c r="Q32" i="1"/>
  <c r="Q30" i="1"/>
  <c r="Q28" i="1"/>
  <c r="Q26" i="1"/>
  <c r="Q24" i="1"/>
  <c r="Q22" i="1"/>
  <c r="Q20" i="1"/>
  <c r="Q18" i="1"/>
  <c r="Q16" i="1"/>
  <c r="Q14" i="1"/>
  <c r="Q12" i="1"/>
  <c r="Q10" i="1"/>
  <c r="Q8" i="1"/>
  <c r="Q6" i="1"/>
  <c r="Q4" i="1"/>
  <c r="Q2" i="1"/>
  <c r="T6" i="4"/>
  <c r="D8" i="1" s="1"/>
  <c r="T4" i="4"/>
  <c r="D4" i="1" s="1"/>
  <c r="T7" i="4"/>
  <c r="D2" i="1" s="1"/>
  <c r="I2" i="1" s="1"/>
  <c r="T3" i="4"/>
  <c r="D5" i="1" s="1"/>
  <c r="N1" i="1"/>
  <c r="T2" i="4"/>
  <c r="D6" i="1" s="1"/>
  <c r="D18" i="1" l="1"/>
  <c r="D21" i="1"/>
  <c r="B48" i="5"/>
  <c r="G17" i="6"/>
  <c r="G16" i="6"/>
  <c r="G14" i="6"/>
  <c r="G13" i="6"/>
  <c r="G12" i="6"/>
  <c r="G11" i="6"/>
  <c r="G10" i="6"/>
  <c r="N32" i="1"/>
  <c r="N28" i="1"/>
  <c r="N24" i="1"/>
  <c r="N20" i="1"/>
  <c r="N16" i="1"/>
  <c r="N12" i="1"/>
  <c r="N8" i="1"/>
  <c r="N4" i="1"/>
  <c r="N31" i="1"/>
  <c r="N27" i="1"/>
  <c r="N23" i="1"/>
  <c r="N19" i="1"/>
  <c r="N15" i="1"/>
  <c r="N11" i="1"/>
  <c r="N7" i="1"/>
  <c r="N3" i="1"/>
  <c r="N30" i="1"/>
  <c r="N26" i="1"/>
  <c r="N22" i="1"/>
  <c r="N18" i="1"/>
  <c r="N14" i="1"/>
  <c r="N10" i="1"/>
  <c r="N6" i="1"/>
  <c r="N2" i="1"/>
  <c r="N29" i="1"/>
  <c r="N25" i="1"/>
  <c r="N21" i="1"/>
  <c r="N17" i="1"/>
  <c r="N13" i="1"/>
  <c r="N9" i="1"/>
  <c r="N5" i="1"/>
  <c r="O1" i="1"/>
  <c r="G6" i="1"/>
  <c r="H6" i="1" s="1" a="1"/>
  <c r="H6" i="1" s="1"/>
  <c r="C20" i="6" l="1" a="1"/>
  <c r="C20" i="6" s="1"/>
  <c r="I20" i="6" s="1"/>
  <c r="C18" i="6" a="1"/>
  <c r="C18" i="6" s="1"/>
  <c r="I18" i="6" s="1"/>
  <c r="C19" i="6" a="1"/>
  <c r="C19" i="6" s="1"/>
  <c r="I19" i="6" s="1"/>
  <c r="C21" i="6" a="1"/>
  <c r="C21" i="6" s="1"/>
  <c r="I21" i="6" s="1"/>
  <c r="C11" i="6" a="1"/>
  <c r="C11" i="6" s="1"/>
  <c r="I11" i="6" s="1"/>
  <c r="C8" i="6" a="1"/>
  <c r="C8" i="6" s="1"/>
  <c r="C16" i="6" a="1"/>
  <c r="C16" i="6" s="1"/>
  <c r="I16" i="6" s="1"/>
  <c r="C14" i="6" a="1"/>
  <c r="C14" i="6" s="1"/>
  <c r="I14" i="6" s="1"/>
  <c r="C12" i="6" a="1"/>
  <c r="C12" i="6" s="1"/>
  <c r="I12" i="6" s="1"/>
  <c r="C2" i="6" a="1"/>
  <c r="C2" i="6" s="1"/>
  <c r="C7" i="6" a="1"/>
  <c r="C7" i="6" s="1"/>
  <c r="C5" i="6" a="1"/>
  <c r="C5" i="6" s="1"/>
  <c r="C13" i="6" a="1"/>
  <c r="C13" i="6" s="1"/>
  <c r="I13" i="6" s="1"/>
  <c r="C15" i="6" a="1"/>
  <c r="C15" i="6" s="1"/>
  <c r="I15" i="6" s="1"/>
  <c r="C10" i="6" a="1"/>
  <c r="C10" i="6" s="1"/>
  <c r="I10" i="6" s="1"/>
  <c r="C17" i="6" a="1"/>
  <c r="C17" i="6" s="1"/>
  <c r="I17" i="6" s="1"/>
  <c r="C4" i="6" a="1"/>
  <c r="C4" i="6" s="1"/>
  <c r="C3" i="6" a="1"/>
  <c r="C3" i="6" s="1"/>
  <c r="C9" i="6" a="1"/>
  <c r="C9" i="6" s="1"/>
  <c r="I9" i="6" s="1"/>
  <c r="C6" i="6" a="1"/>
  <c r="C6" i="6" s="1"/>
  <c r="I6" i="1"/>
  <c r="O32" i="1"/>
  <c r="O31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R1" i="1"/>
  <c r="I2" i="6" l="1"/>
  <c r="I4" i="6"/>
  <c r="I3" i="6"/>
  <c r="I5" i="6"/>
  <c r="I7" i="6"/>
  <c r="I6" i="6"/>
  <c r="G2" i="6"/>
  <c r="G5" i="6"/>
  <c r="G8" i="6"/>
  <c r="G4" i="6"/>
  <c r="I4" i="1" s="1"/>
  <c r="L4" i="5" s="1"/>
  <c r="G9" i="6"/>
  <c r="I8" i="6"/>
  <c r="G3" i="6"/>
  <c r="I8" i="1"/>
  <c r="I5" i="1"/>
  <c r="Q2" i="5"/>
  <c r="L2" i="5"/>
  <c r="G7" i="6"/>
  <c r="I7" i="1" s="1"/>
  <c r="G6" i="6"/>
  <c r="R31" i="1"/>
  <c r="R27" i="1"/>
  <c r="R23" i="1"/>
  <c r="R17" i="1"/>
  <c r="R11" i="1"/>
  <c r="R8" i="1"/>
  <c r="R32" i="1"/>
  <c r="R28" i="1"/>
  <c r="R24" i="1"/>
  <c r="R20" i="1"/>
  <c r="R12" i="1"/>
  <c r="R9" i="1"/>
  <c r="R3" i="1"/>
  <c r="R29" i="1"/>
  <c r="R25" i="1"/>
  <c r="R21" i="1"/>
  <c r="R13" i="1"/>
  <c r="R4" i="1"/>
  <c r="R30" i="1"/>
  <c r="R26" i="1"/>
  <c r="R22" i="1"/>
  <c r="R16" i="1"/>
  <c r="R5" i="1"/>
  <c r="R10" i="1"/>
  <c r="R15" i="1"/>
  <c r="R14" i="1"/>
  <c r="R19" i="1"/>
  <c r="R2" i="1"/>
  <c r="R18" i="1"/>
  <c r="R7" i="1"/>
  <c r="Q4" i="5" l="1"/>
  <c r="L20" i="5"/>
  <c r="L19" i="5"/>
  <c r="L18" i="5"/>
  <c r="L21" i="5"/>
  <c r="L6" i="5"/>
  <c r="L11" i="5"/>
  <c r="L9" i="5"/>
  <c r="L16" i="5"/>
  <c r="L15" i="5"/>
  <c r="L12" i="5"/>
  <c r="L17" i="5"/>
  <c r="Q14" i="5"/>
  <c r="Q11" i="5"/>
  <c r="Q9" i="5"/>
  <c r="Q16" i="5"/>
  <c r="Q15" i="5"/>
  <c r="Q12" i="5"/>
  <c r="Q19" i="5"/>
  <c r="Q17" i="5"/>
  <c r="Q20" i="5"/>
  <c r="Q21" i="5"/>
  <c r="Q10" i="5"/>
  <c r="L7" i="5"/>
  <c r="L13" i="5"/>
  <c r="L14" i="5"/>
  <c r="L10" i="5"/>
  <c r="L8" i="5"/>
  <c r="Q18" i="5"/>
  <c r="Q7" i="5"/>
  <c r="Q13" i="5"/>
  <c r="Q8" i="5"/>
  <c r="R6" i="1"/>
  <c r="Q6" i="5"/>
  <c r="Q5" i="5"/>
  <c r="L5" i="5"/>
  <c r="S1" i="1"/>
  <c r="S4" i="1" s="1"/>
  <c r="L3" i="5"/>
  <c r="Q3" i="5"/>
  <c r="S27" i="1" l="1"/>
  <c r="S31" i="1"/>
  <c r="S16" i="1"/>
  <c r="S22" i="1"/>
  <c r="S30" i="1"/>
  <c r="S5" i="1"/>
  <c r="S25" i="1"/>
  <c r="S13" i="1"/>
  <c r="S7" i="1"/>
  <c r="S8" i="1"/>
  <c r="S11" i="1"/>
  <c r="S9" i="1"/>
  <c r="S18" i="1"/>
  <c r="S3" i="1"/>
  <c r="S26" i="1"/>
  <c r="S32" i="1"/>
  <c r="S21" i="1"/>
  <c r="S14" i="1"/>
  <c r="S15" i="1"/>
  <c r="S24" i="1"/>
  <c r="S2" i="1"/>
  <c r="S23" i="1"/>
  <c r="S28" i="1"/>
  <c r="S6" i="1"/>
  <c r="S12" i="1"/>
  <c r="S10" i="1"/>
  <c r="S20" i="1"/>
  <c r="S19" i="1"/>
  <c r="S17" i="1"/>
  <c r="S29" i="1"/>
</calcChain>
</file>

<file path=xl/sharedStrings.xml><?xml version="1.0" encoding="utf-8"?>
<sst xmlns="http://schemas.openxmlformats.org/spreadsheetml/2006/main" count="82" uniqueCount="49">
  <si>
    <t>I</t>
  </si>
  <si>
    <t>II</t>
  </si>
  <si>
    <t>III</t>
  </si>
  <si>
    <t>IV</t>
  </si>
  <si>
    <t>V</t>
  </si>
  <si>
    <t>VI</t>
  </si>
  <si>
    <t>Сумма</t>
  </si>
  <si>
    <t>Числа</t>
  </si>
  <si>
    <t>Разоблачение</t>
  </si>
  <si>
    <t>VII</t>
  </si>
  <si>
    <t>Преферанс</t>
  </si>
  <si>
    <t>Цель</t>
  </si>
  <si>
    <t>Аукцион</t>
  </si>
  <si>
    <t>ИТОГ ИГРЫ</t>
  </si>
  <si>
    <t>К финалу</t>
  </si>
  <si>
    <t>Момент истины</t>
  </si>
  <si>
    <t>Команды</t>
  </si>
  <si>
    <t>Всего команд с коэффициентом:</t>
  </si>
  <si>
    <t>Кол-во команд с коэффициентом:</t>
  </si>
  <si>
    <t>ranking</t>
  </si>
  <si>
    <t>Bonus</t>
  </si>
  <si>
    <t>Points</t>
  </si>
  <si>
    <t>Penalty</t>
  </si>
  <si>
    <t>Sum</t>
  </si>
  <si>
    <t>Max potential</t>
  </si>
  <si>
    <t>Add ranking</t>
  </si>
  <si>
    <t>countmax:</t>
  </si>
  <si>
    <t>Ставка по умолчанию:</t>
  </si>
  <si>
    <t>Общая таблица</t>
  </si>
  <si>
    <t>Автоматическая подсветка лучшего результата в конкурсе, с учетом предыдущего при равенстве очков</t>
  </si>
  <si>
    <t>Простановка нулей не набравшим очков командам</t>
  </si>
  <si>
    <t xml:space="preserve"> </t>
  </si>
  <si>
    <t>Сортировка табл по увеличению очков при клике по кнопке итого</t>
  </si>
  <si>
    <t>Простановка ставки по умолчанию если не указана никакая ставка; ставка по умолчанию находится в строке 48 под таблицей</t>
  </si>
  <si>
    <t>Расчет играющих коэффициентов   с учетом набранного количества очков; проставление и подстветка играющих коэффициентов</t>
  </si>
  <si>
    <t>Коэффициенты и их количество указано под таблицей в строках 30-34</t>
  </si>
  <si>
    <t>Простановка нулей не ответившим на  вопрос командам</t>
  </si>
  <si>
    <t>Подстветка выполнивших-невыполнивших заказ команд</t>
  </si>
  <si>
    <t>Подстветка строки со ставками если их сумма не равняется количеству очков до финала</t>
  </si>
  <si>
    <t>Всего баллов</t>
  </si>
  <si>
    <t>Сумма баллов в конкурсе</t>
  </si>
  <si>
    <t>Однажды было дважды</t>
  </si>
  <si>
    <t>Тихая дружба с овощем</t>
  </si>
  <si>
    <t>Суровая реальность</t>
  </si>
  <si>
    <t>Остров предположений</t>
  </si>
  <si>
    <t>Кроме шуток</t>
  </si>
  <si>
    <t>Час пробил</t>
  </si>
  <si>
    <t>Вучичи</t>
  </si>
  <si>
    <t>А меня не прет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</si>
</sst>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29" x14ac:knownFonts="1">
    <font>
      <sz val="11"/>
      <color theme="1"/>
      <name val="Calibri"/>
      <family val="2"/>
      <charset val="204"/>
      <scheme val="minor"/>
    </font>
    <font>
      <sz val="36"/>
      <color theme="1"/>
      <name val="Calibri"/>
      <family val="2"/>
      <charset val="204"/>
      <scheme val="minor"/>
    </font>
    <font>
      <sz val="42"/>
      <color theme="1"/>
      <name val="Calibri"/>
      <family val="2"/>
      <charset val="204"/>
      <scheme val="minor"/>
    </font>
    <font>
      <b/>
      <sz val="42"/>
      <color theme="1"/>
      <name val="Calibri"/>
      <family val="2"/>
      <charset val="204"/>
      <scheme val="minor"/>
    </font>
    <font>
      <b/>
      <sz val="48"/>
      <color theme="3" tint="0.39997558519241921"/>
      <name val="Calibri"/>
      <family val="2"/>
      <charset val="204"/>
      <scheme val="minor"/>
    </font>
    <font>
      <b/>
      <sz val="28"/>
      <color theme="3" tint="0.39997558519241921"/>
      <name val="Calibri"/>
      <family val="2"/>
      <charset val="204"/>
      <scheme val="minor"/>
    </font>
    <font>
      <b/>
      <sz val="36"/>
      <color theme="3" tint="0.39997558519241921"/>
      <name val="Calibri"/>
      <family val="2"/>
      <charset val="204"/>
      <scheme val="minor"/>
    </font>
    <font>
      <b/>
      <sz val="36"/>
      <color theme="1"/>
      <name val="Calibri"/>
      <family val="2"/>
      <charset val="204"/>
      <scheme val="minor"/>
    </font>
    <font>
      <b/>
      <sz val="28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sz val="26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b/>
      <sz val="22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26"/>
      <color theme="1"/>
      <name val="Calibri"/>
      <family val="2"/>
      <charset val="204"/>
      <scheme val="minor"/>
    </font>
    <font>
      <sz val="26"/>
      <color theme="3" tint="-0.499984740745262"/>
      <name val="Calibri"/>
      <family val="2"/>
      <charset val="204"/>
      <scheme val="minor"/>
    </font>
    <font>
      <sz val="26"/>
      <color theme="0"/>
      <name val="Calibri"/>
      <family val="2"/>
      <charset val="204"/>
      <scheme val="minor"/>
    </font>
    <font>
      <sz val="18"/>
      <color rgb="FFFF0000"/>
      <name val="Calibri"/>
      <family val="2"/>
      <charset val="204"/>
      <scheme val="minor"/>
    </font>
    <font>
      <b/>
      <sz val="42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36"/>
      <color theme="0"/>
      <name val="Calibri"/>
      <family val="2"/>
      <charset val="204"/>
      <scheme val="minor"/>
    </font>
    <font>
      <sz val="36"/>
      <name val="Calibri"/>
      <family val="2"/>
      <charset val="204"/>
      <scheme val="minor"/>
    </font>
    <font>
      <b/>
      <i/>
      <sz val="36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9" fillId="2" borderId="1" xfId="0" applyFont="1" applyFill="1" applyBorder="1"/>
    <xf numFmtId="0" fontId="10" fillId="2" borderId="1" xfId="0" applyFont="1" applyFill="1" applyBorder="1" applyAlignment="1">
      <alignment horizontal="center"/>
    </xf>
    <xf numFmtId="14" fontId="8" fillId="2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11" fillId="0" borderId="0" xfId="0" applyFont="1"/>
    <xf numFmtId="0" fontId="9" fillId="0" borderId="0" xfId="0" applyFont="1"/>
    <xf numFmtId="0" fontId="14" fillId="0" borderId="0" xfId="0" applyFont="1" applyAlignment="1">
      <alignment horizontal="right"/>
    </xf>
    <xf numFmtId="4" fontId="14" fillId="0" borderId="0" xfId="0" applyNumberFormat="1" applyFont="1" applyAlignment="1">
      <alignment horizontal="left"/>
    </xf>
    <xf numFmtId="0" fontId="14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13" fillId="0" borderId="2" xfId="0" applyFont="1" applyBorder="1" applyAlignment="1">
      <alignment horizontal="right"/>
    </xf>
    <xf numFmtId="164" fontId="13" fillId="0" borderId="3" xfId="0" applyNumberFormat="1" applyFont="1" applyBorder="1" applyAlignment="1">
      <alignment horizontal="left"/>
    </xf>
    <xf numFmtId="0" fontId="13" fillId="0" borderId="4" xfId="0" applyFont="1" applyBorder="1" applyAlignment="1">
      <alignment horizontal="right"/>
    </xf>
    <xf numFmtId="164" fontId="13" fillId="0" borderId="5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14" fillId="0" borderId="4" xfId="0" applyFont="1" applyBorder="1" applyAlignment="1">
      <alignment horizontal="right"/>
    </xf>
    <xf numFmtId="164" fontId="14" fillId="0" borderId="5" xfId="0" applyNumberFormat="1" applyFont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5" fillId="0" borderId="0" xfId="0" applyFont="1"/>
    <xf numFmtId="0" fontId="16" fillId="0" borderId="0" xfId="0" applyFont="1"/>
    <xf numFmtId="0" fontId="1" fillId="0" borderId="0" xfId="0" applyFont="1"/>
    <xf numFmtId="0" fontId="17" fillId="0" borderId="0" xfId="0" applyFont="1"/>
    <xf numFmtId="0" fontId="17" fillId="0" borderId="1" xfId="0" applyFont="1" applyBorder="1"/>
    <xf numFmtId="0" fontId="18" fillId="0" borderId="0" xfId="0" applyFont="1"/>
    <xf numFmtId="0" fontId="19" fillId="4" borderId="0" xfId="0" applyFont="1" applyFill="1"/>
    <xf numFmtId="0" fontId="18" fillId="4" borderId="0" xfId="0" applyFont="1" applyFill="1"/>
    <xf numFmtId="0" fontId="20" fillId="0" borderId="0" xfId="0" applyFont="1"/>
    <xf numFmtId="164" fontId="1" fillId="0" borderId="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3" fillId="0" borderId="0" xfId="0" applyFont="1"/>
    <xf numFmtId="0" fontId="24" fillId="0" borderId="0" xfId="0" applyFont="1"/>
    <xf numFmtId="0" fontId="24" fillId="0" borderId="0" xfId="0" applyFont="1" applyAlignment="1">
      <alignment horizontal="center"/>
    </xf>
    <xf numFmtId="0" fontId="1" fillId="0" borderId="1" xfId="0" applyFont="1" applyBorder="1" applyAlignment="1">
      <alignment horizontal="right" indent="1"/>
    </xf>
    <xf numFmtId="0" fontId="3" fillId="0" borderId="0" xfId="0" applyFont="1" applyAlignment="1">
      <alignment horizontal="left"/>
    </xf>
    <xf numFmtId="0" fontId="25" fillId="0" borderId="0" xfId="0" applyFont="1"/>
    <xf numFmtId="0" fontId="7" fillId="0" borderId="1" xfId="0" applyFont="1" applyBorder="1" applyAlignment="1">
      <alignment horizontal="right" wrapText="1"/>
    </xf>
    <xf numFmtId="0" fontId="7" fillId="5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26" fillId="0" borderId="1" xfId="0" applyFont="1" applyBorder="1"/>
    <xf numFmtId="0" fontId="27" fillId="0" borderId="1" xfId="0" applyFont="1" applyBorder="1" applyAlignment="1">
      <alignment horizontal="center"/>
    </xf>
    <xf numFmtId="0" fontId="28" fillId="5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1" fillId="4" borderId="3" xfId="0" applyFont="1" applyFill="1" applyBorder="1" applyAlignment="1">
      <alignment horizontal="center"/>
    </xf>
  </cellXfs>
  <cellStyles count="1">
    <cellStyle name="Обычный" xfId="0" builtinId="0"/>
  </cellStyles>
  <dxfs count="6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00B050"/>
        </patternFill>
      </fill>
    </dxf>
    <dxf>
      <fill>
        <patternFill>
          <bgColor rgb="FFFD7777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5FF76"/>
        </patternFill>
      </fill>
    </dxf>
  </dxfs>
  <tableStyles count="0" defaultTableStyle="TableStyleMedium9" defaultPivotStyle="PivotStyleLight16"/>
  <colors>
    <mruColors>
      <color rgb="FF05FF76"/>
      <color rgb="FFABFFD1"/>
      <color rgb="FFB9FFD0"/>
      <color rgb="FFFD7777"/>
      <color rgb="FFFFAFB1"/>
      <color rgb="FFFF1D1D"/>
      <color rgb="FF66FF99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47624</xdr:colOff>
      <xdr:row>0</xdr:row>
      <xdr:rowOff>1</xdr:rowOff>
    </xdr:from>
    <xdr:to>
      <xdr:col>9</xdr:col>
      <xdr:colOff>0</xdr:colOff>
      <xdr:row>1</xdr:row>
      <xdr:rowOff>0</xdr:rowOff>
    </xdr:to>
    <xdr:sp macro="[0]!sorting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026312" y="1"/>
          <a:ext cx="3833813" cy="59531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3600"/>
            <a:t>Сумма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10583</xdr:rowOff>
    </xdr:from>
    <xdr:to>
      <xdr:col>1</xdr:col>
      <xdr:colOff>2844000</xdr:colOff>
      <xdr:row>2</xdr:row>
      <xdr:rowOff>10583</xdr:rowOff>
    </xdr:to>
    <xdr:sp macro="[0]!numbers_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487583" y="201083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14817</xdr:colOff>
      <xdr:row>1</xdr:row>
      <xdr:rowOff>14817</xdr:rowOff>
    </xdr:from>
    <xdr:to>
      <xdr:col>3</xdr:col>
      <xdr:colOff>11900</xdr:colOff>
      <xdr:row>2</xdr:row>
      <xdr:rowOff>14817</xdr:rowOff>
    </xdr:to>
    <xdr:sp macro="[0]!numbers_2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9349317" y="205317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2844796</xdr:colOff>
      <xdr:row>1</xdr:row>
      <xdr:rowOff>8471</xdr:rowOff>
    </xdr:from>
    <xdr:to>
      <xdr:col>3</xdr:col>
      <xdr:colOff>2841879</xdr:colOff>
      <xdr:row>2</xdr:row>
      <xdr:rowOff>8471</xdr:rowOff>
    </xdr:to>
    <xdr:sp macro="[0]!numbers_3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179296" y="198971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III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2110</xdr:colOff>
      <xdr:row>1</xdr:row>
      <xdr:rowOff>12708</xdr:rowOff>
    </xdr:from>
    <xdr:to>
      <xdr:col>4</xdr:col>
      <xdr:colOff>2846110</xdr:colOff>
      <xdr:row>2</xdr:row>
      <xdr:rowOff>12708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30443" y="203208"/>
          <a:ext cx="2844000" cy="783167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4755</xdr:colOff>
      <xdr:row>1</xdr:row>
      <xdr:rowOff>12708</xdr:rowOff>
    </xdr:from>
    <xdr:to>
      <xdr:col>5</xdr:col>
      <xdr:colOff>3162</xdr:colOff>
      <xdr:row>2</xdr:row>
      <xdr:rowOff>12708</xdr:rowOff>
    </xdr:to>
    <xdr:sp macro="[0]!numbers_4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5030443" y="203208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IV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2375</xdr:colOff>
      <xdr:row>1</xdr:row>
      <xdr:rowOff>10327</xdr:rowOff>
    </xdr:from>
    <xdr:to>
      <xdr:col>6</xdr:col>
      <xdr:colOff>781</xdr:colOff>
      <xdr:row>2</xdr:row>
      <xdr:rowOff>10327</xdr:rowOff>
    </xdr:to>
    <xdr:sp macro="[0]!numbers_5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7873656" y="200827"/>
          <a:ext cx="2844000" cy="785813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solidFill>
                <a:sysClr val="windowText" lastClr="000000"/>
              </a:solidFill>
            </a:rPr>
            <a:t>V</a:t>
          </a:r>
          <a:endParaRPr lang="ru-RU" sz="40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38099</xdr:rowOff>
    </xdr:to>
    <xdr:sp macro="[0]!pref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842000" y="0"/>
          <a:ext cx="2444750" cy="64134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000">
              <a:solidFill>
                <a:sysClr val="windowText" lastClr="000000"/>
              </a:solidFill>
            </a:rPr>
            <a:t>ЦЕЛЬ</a:t>
          </a:r>
        </a:p>
      </xdr:txBody>
    </xdr:sp>
    <xdr:clientData/>
  </xdr:twoCellAnchor>
  <xdr:twoCellAnchor>
    <xdr:from>
      <xdr:col>2</xdr:col>
      <xdr:colOff>25400</xdr:colOff>
      <xdr:row>0</xdr:row>
      <xdr:rowOff>1</xdr:rowOff>
    </xdr:from>
    <xdr:to>
      <xdr:col>2</xdr:col>
      <xdr:colOff>2293400</xdr:colOff>
      <xdr:row>1</xdr:row>
      <xdr:rowOff>31751</xdr:rowOff>
    </xdr:to>
    <xdr:sp macro="[0]!pref_1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12150" y="1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31750</xdr:colOff>
      <xdr:row>0</xdr:row>
      <xdr:rowOff>0</xdr:rowOff>
    </xdr:from>
    <xdr:to>
      <xdr:col>3</xdr:col>
      <xdr:colOff>2299750</xdr:colOff>
      <xdr:row>1</xdr:row>
      <xdr:rowOff>31750</xdr:rowOff>
    </xdr:to>
    <xdr:sp macro="[0]!pref_2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636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63500</xdr:colOff>
      <xdr:row>0</xdr:row>
      <xdr:rowOff>0</xdr:rowOff>
    </xdr:from>
    <xdr:to>
      <xdr:col>5</xdr:col>
      <xdr:colOff>13750</xdr:colOff>
      <xdr:row>1</xdr:row>
      <xdr:rowOff>31750</xdr:rowOff>
    </xdr:to>
    <xdr:sp macro="[0]!pref_3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29857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63500</xdr:colOff>
      <xdr:row>0</xdr:row>
      <xdr:rowOff>0</xdr:rowOff>
    </xdr:from>
    <xdr:to>
      <xdr:col>6</xdr:col>
      <xdr:colOff>13750</xdr:colOff>
      <xdr:row>1</xdr:row>
      <xdr:rowOff>31750</xdr:rowOff>
    </xdr:to>
    <xdr:sp macro="[0]!pref_4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5303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IV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63500</xdr:colOff>
      <xdr:row>0</xdr:row>
      <xdr:rowOff>0</xdr:rowOff>
    </xdr:from>
    <xdr:to>
      <xdr:col>7</xdr:col>
      <xdr:colOff>13750</xdr:colOff>
      <xdr:row>1</xdr:row>
      <xdr:rowOff>31750</xdr:rowOff>
    </xdr:to>
    <xdr:sp macro="[0]!pref_5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1762125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7</xdr:col>
      <xdr:colOff>2268000</xdr:colOff>
      <xdr:row>1</xdr:row>
      <xdr:rowOff>31750</xdr:rowOff>
    </xdr:to>
    <xdr:sp macro="[0]!pref_6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98755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31750</xdr:colOff>
      <xdr:row>0</xdr:row>
      <xdr:rowOff>0</xdr:rowOff>
    </xdr:from>
    <xdr:to>
      <xdr:col>8</xdr:col>
      <xdr:colOff>2299750</xdr:colOff>
      <xdr:row>1</xdr:row>
      <xdr:rowOff>31750</xdr:rowOff>
    </xdr:to>
    <xdr:sp macro="[0]!pref_7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22225000" y="0"/>
          <a:ext cx="2268000" cy="6350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 b="1">
              <a:solidFill>
                <a:sysClr val="windowText" lastClr="000000"/>
              </a:solidFill>
            </a:rPr>
            <a:t>VII</a:t>
          </a:r>
          <a:endParaRPr lang="ru-RU" sz="4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31750</xdr:rowOff>
    </xdr:from>
    <xdr:to>
      <xdr:col>3</xdr:col>
      <xdr:colOff>139500</xdr:colOff>
      <xdr:row>0</xdr:row>
      <xdr:rowOff>1238250</xdr:rowOff>
    </xdr:to>
    <xdr:sp macro="[0]!round_on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651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1936750</xdr:colOff>
      <xdr:row>0</xdr:row>
      <xdr:rowOff>31750</xdr:rowOff>
    </xdr:from>
    <xdr:to>
      <xdr:col>5</xdr:col>
      <xdr:colOff>76000</xdr:colOff>
      <xdr:row>0</xdr:row>
      <xdr:rowOff>1238250</xdr:rowOff>
    </xdr:to>
    <xdr:sp macro="[0]!round_tw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9588500" y="31750"/>
          <a:ext cx="4140000" cy="12065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1962150</xdr:colOff>
      <xdr:row>0</xdr:row>
      <xdr:rowOff>25400</xdr:rowOff>
    </xdr:from>
    <xdr:to>
      <xdr:col>7</xdr:col>
      <xdr:colOff>101400</xdr:colOff>
      <xdr:row>0</xdr:row>
      <xdr:rowOff>1231400</xdr:rowOff>
    </xdr:to>
    <xdr:sp macro="[0]!round_thre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3614400" y="2540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III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1955800</xdr:colOff>
      <xdr:row>0</xdr:row>
      <xdr:rowOff>31750</xdr:rowOff>
    </xdr:from>
    <xdr:to>
      <xdr:col>9</xdr:col>
      <xdr:colOff>95050</xdr:colOff>
      <xdr:row>0</xdr:row>
      <xdr:rowOff>1237750</xdr:rowOff>
    </xdr:to>
    <xdr:sp macro="[0]!round_four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608550" y="31750"/>
          <a:ext cx="4140000" cy="120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200">
              <a:solidFill>
                <a:sysClr val="windowText" lastClr="000000"/>
              </a:solidFill>
            </a:rPr>
            <a:t>IV</a:t>
          </a:r>
          <a:endParaRPr lang="ru-RU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2690812</xdr:colOff>
      <xdr:row>0</xdr:row>
      <xdr:rowOff>23812</xdr:rowOff>
    </xdr:from>
    <xdr:to>
      <xdr:col>7</xdr:col>
      <xdr:colOff>0</xdr:colOff>
      <xdr:row>1</xdr:row>
      <xdr:rowOff>23812</xdr:rowOff>
    </xdr:to>
    <xdr:sp macro="[0]!sorting_fina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9383375" y="23812"/>
          <a:ext cx="5000625" cy="6905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ru-RU" sz="4800" b="1">
              <a:solidFill>
                <a:sysClr val="windowText" lastClr="000000"/>
              </a:solidFill>
            </a:rPr>
            <a:t>ИТОГ ИГРЫ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548640</xdr:colOff>
      <xdr:row>0</xdr:row>
      <xdr:rowOff>38100</xdr:rowOff>
    </xdr:from>
    <xdr:to>
      <xdr:col>20</xdr:col>
      <xdr:colOff>53340</xdr:colOff>
      <xdr:row>36</xdr:row>
      <xdr:rowOff>133151</xdr:rowOff>
    </xdr:to>
    <xdr:pic>
      <xdr:nvPicPr>
        <xdr:cNvPr id="2" name="Рисунок 1" descr="Преферанс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67840" y="38100"/>
          <a:ext cx="10477500" cy="667873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212764</xdr:colOff>
      <xdr:row>0</xdr:row>
      <xdr:rowOff>0</xdr:rowOff>
    </xdr:from>
    <xdr:to>
      <xdr:col>20</xdr:col>
      <xdr:colOff>518160</xdr:colOff>
      <xdr:row>36</xdr:row>
      <xdr:rowOff>145898</xdr:rowOff>
    </xdr:to>
    <xdr:pic>
      <xdr:nvPicPr>
        <xdr:cNvPr id="2" name="Рисунок 1" descr="Разоблачение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1964" y="0"/>
          <a:ext cx="11278196" cy="672957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53340</xdr:colOff>
      <xdr:row>0</xdr:row>
      <xdr:rowOff>0</xdr:rowOff>
    </xdr:from>
    <xdr:to>
      <xdr:col>19</xdr:col>
      <xdr:colOff>473269</xdr:colOff>
      <xdr:row>36</xdr:row>
      <xdr:rowOff>160605</xdr:rowOff>
    </xdr:to>
    <xdr:pic>
      <xdr:nvPicPr>
        <xdr:cNvPr id="2" name="Рисунок 1" descr="Аукцион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" y="0"/>
          <a:ext cx="9563929" cy="674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32"/>
  <sheetViews>
    <sheetView showGridLines="0" zoomScale="56" zoomScaleNormal="56" workbookViewId="0">
      <selection activeCell="E7" sqref="E7"/>
    </sheetView>
  </sheetViews>
  <sheetFormatPr baseColWidth="10" defaultColWidth="8.83203125" defaultRowHeight="34" outlineLevelCol="1" x14ac:dyDescent="0.4"/>
  <cols>
    <col min="1" max="1" width="99.83203125" customWidth="1"/>
    <col min="2" max="8" width="31.6640625" customWidth="1"/>
    <col min="9" max="9" width="51" customWidth="1"/>
    <col min="12" max="12" width="19.5" style="34" customWidth="1" outlineLevel="1"/>
    <col min="13" max="18" width="16.33203125" style="34" customWidth="1" outlineLevel="1"/>
    <col min="19" max="32" width="16.33203125" style="34" customWidth="1"/>
  </cols>
  <sheetData>
    <row r="1" spans="1:19" ht="47.5" customHeight="1" x14ac:dyDescent="0.6">
      <c r="A1" s="12">
        <v>45347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9</v>
      </c>
      <c r="I1" s="1" t="s">
        <v>6</v>
      </c>
      <c r="L1" s="42" t="s">
        <v>26</v>
      </c>
      <c r="M1" s="35">
        <f t="shared" ref="M1:R1" si="0">COUNTIF(B$2:B$30,MAX(B$2:B$30))</f>
        <v>1</v>
      </c>
      <c r="N1" s="35">
        <f t="shared" si="0"/>
        <v>1</v>
      </c>
      <c r="O1" s="35">
        <f t="shared" si="0"/>
        <v>1</v>
      </c>
      <c r="P1" s="35">
        <f t="shared" si="0"/>
        <v>2</v>
      </c>
      <c r="Q1" s="35">
        <f t="shared" si="0"/>
        <v>1</v>
      </c>
      <c r="R1" s="35">
        <f t="shared" si="0"/>
        <v>1</v>
      </c>
      <c r="S1" s="35">
        <f>COUNTIF(H$2:H$30,MAX(H$2:H$30))</f>
        <v>1</v>
      </c>
    </row>
    <row r="2" spans="1:19" ht="54" x14ac:dyDescent="0.6">
      <c r="A2" s="55" t="str">
        <f>Команды!A9</f>
        <v>Кроме шуток</v>
      </c>
      <c r="B2" s="6">
        <v>1100</v>
      </c>
      <c r="C2" s="6">
        <f>Числа!G8</f>
        <v>700</v>
      </c>
      <c r="D2" s="6">
        <f>Преферанс!T7</f>
        <v>1000</v>
      </c>
      <c r="E2" s="6">
        <v>600</v>
      </c>
      <c r="F2" s="6">
        <f>Разоблачение!F8</f>
        <v>1900</v>
      </c>
      <c r="G2" s="6">
        <f>Аукцион!J7</f>
        <v>2700</v>
      </c>
      <c r="H2" s="6">
        <f t="array" ref="H2">IF(ISNUMBER(G2),SUM(IF('Момент истины'!$B$2:$B$30=$A2,'Момент истины'!$D$2:$F$30)),"")</f>
        <v>6000</v>
      </c>
      <c r="I2" s="4">
        <f>IF(ISNUMBER(B2),SUM(B2:H2),"")</f>
        <v>14000</v>
      </c>
      <c r="M2" s="35">
        <f>IF(M$1&gt;1,IF(B2=MAX(B$2:B$26),SUM(B2:C2),""),IF(ISNUMBER(B2),B2,""))</f>
        <v>1100</v>
      </c>
      <c r="N2" s="35">
        <f t="shared" ref="N2:S17" si="1">IF(N$1&gt;1,IF(C2=MAX(C$2:C$26),SUM(C2:D2),""),C2)</f>
        <v>700</v>
      </c>
      <c r="O2" s="35">
        <f t="shared" si="1"/>
        <v>1000</v>
      </c>
      <c r="P2" s="35" t="str">
        <f>IF(P$1&gt;1,IF(E2=MAX(E$2:E$26),SUM(E2:F2),""),IF(ISNUMBER(E2),E2,""))</f>
        <v/>
      </c>
      <c r="Q2" s="35">
        <f t="shared" si="1"/>
        <v>1900</v>
      </c>
      <c r="R2" s="35">
        <f t="shared" si="1"/>
        <v>2700</v>
      </c>
      <c r="S2" s="35">
        <f t="shared" si="1"/>
        <v>6000</v>
      </c>
    </row>
    <row r="3" spans="1:19" ht="54" x14ac:dyDescent="0.6">
      <c r="A3" s="55" t="str">
        <f>Команды!A10</f>
        <v>Час пробил</v>
      </c>
      <c r="B3" s="6">
        <v>500</v>
      </c>
      <c r="C3" s="6">
        <f>Числа!G9</f>
        <v>850</v>
      </c>
      <c r="D3" s="6">
        <f>Преферанс!T8</f>
        <v>-300</v>
      </c>
      <c r="E3" s="6">
        <v>700</v>
      </c>
      <c r="F3" s="6">
        <f>Разоблачение!F9</f>
        <v>600</v>
      </c>
      <c r="G3" s="6">
        <f>Аукцион!J8</f>
        <v>3300</v>
      </c>
      <c r="H3" s="6">
        <f t="array" ref="H3">IF(ISNUMBER(G3),SUM(IF('Момент истины'!$B$2:$B$30=$A3,'Момент истины'!$D$2:$F$30)),"")</f>
        <v>4950</v>
      </c>
      <c r="I3" s="4">
        <f>IF(ISNUMBER(B3),SUM(B3:H3),"")</f>
        <v>10600</v>
      </c>
      <c r="M3" s="35">
        <f t="shared" ref="M3:M32" si="2">IF(M$1&gt;1,IF(B3=MAX(B$2:B$26),SUM(B3:C3),""),IF(ISNUMBER(B3),B3,""))</f>
        <v>500</v>
      </c>
      <c r="N3" s="35">
        <f t="shared" si="1"/>
        <v>850</v>
      </c>
      <c r="O3" s="35">
        <f t="shared" si="1"/>
        <v>-300</v>
      </c>
      <c r="P3" s="35" t="str">
        <f t="shared" ref="P3:P32" si="3">IF(P$1&gt;1,IF(E3=MAX(E$2:E$26),SUM(E3:F3),""),IF(ISNUMBER(E3),E3,""))</f>
        <v/>
      </c>
      <c r="Q3" s="35">
        <f t="shared" si="1"/>
        <v>600</v>
      </c>
      <c r="R3" s="35">
        <f t="shared" si="1"/>
        <v>3300</v>
      </c>
      <c r="S3" s="35">
        <f t="shared" si="1"/>
        <v>4950</v>
      </c>
    </row>
    <row r="4" spans="1:19" ht="54" x14ac:dyDescent="0.6">
      <c r="A4" s="55" t="str">
        <f>Команды!A6</f>
        <v>Суровая реальность</v>
      </c>
      <c r="B4" s="6">
        <v>800</v>
      </c>
      <c r="C4" s="6">
        <f>Числа!G5</f>
        <v>1200</v>
      </c>
      <c r="D4" s="6">
        <f>Преферанс!T4</f>
        <v>50</v>
      </c>
      <c r="E4" s="6">
        <v>900</v>
      </c>
      <c r="F4" s="6">
        <f>Разоблачение!F5</f>
        <v>1800</v>
      </c>
      <c r="G4" s="6">
        <f>Аукцион!J4</f>
        <v>4750</v>
      </c>
      <c r="H4" s="6">
        <f t="array" ref="H4">IF(ISNUMBER(G4),SUM(IF('Момент истины'!$B$2:$B$30=$A4,'Момент истины'!$D$2:$F$30)),"")</f>
        <v>-3300</v>
      </c>
      <c r="I4" s="4">
        <f>IF(ISNUMBER(B4),SUM(B4:H4),"")</f>
        <v>6200</v>
      </c>
      <c r="M4" s="35">
        <f t="shared" si="2"/>
        <v>800</v>
      </c>
      <c r="N4" s="35">
        <f t="shared" si="1"/>
        <v>1200</v>
      </c>
      <c r="O4" s="35">
        <f t="shared" si="1"/>
        <v>50</v>
      </c>
      <c r="P4" s="35">
        <f t="shared" si="3"/>
        <v>2700</v>
      </c>
      <c r="Q4" s="35">
        <f t="shared" si="1"/>
        <v>1800</v>
      </c>
      <c r="R4" s="35">
        <f t="shared" si="1"/>
        <v>4750</v>
      </c>
      <c r="S4" s="35">
        <f t="shared" si="1"/>
        <v>-3300</v>
      </c>
    </row>
    <row r="5" spans="1:19" ht="54" x14ac:dyDescent="0.6">
      <c r="A5" s="55" t="str">
        <f>Команды!A5</f>
        <v>Тихая дружба с овощем</v>
      </c>
      <c r="B5" s="6">
        <v>800</v>
      </c>
      <c r="C5" s="6">
        <f>Числа!G4</f>
        <v>600</v>
      </c>
      <c r="D5" s="6">
        <f>Преферанс!T3</f>
        <v>150</v>
      </c>
      <c r="E5" s="6">
        <v>900</v>
      </c>
      <c r="F5" s="6">
        <f>Разоблачение!F4</f>
        <v>1400</v>
      </c>
      <c r="G5" s="6">
        <f>Аукцион!J3</f>
        <v>5000</v>
      </c>
      <c r="H5" s="6">
        <f t="array" ref="H5">IF(ISNUMBER(G5),SUM(IF('Момент истины'!$B$2:$B$30=$A5,'Момент истины'!$D$2:$F$30)),"")</f>
        <v>-2950</v>
      </c>
      <c r="I5" s="4">
        <f>IF(ISNUMBER(B5),SUM(B5:H5),"")</f>
        <v>5900</v>
      </c>
      <c r="M5" s="35">
        <f t="shared" si="2"/>
        <v>800</v>
      </c>
      <c r="N5" s="35">
        <f t="shared" si="1"/>
        <v>600</v>
      </c>
      <c r="O5" s="35">
        <f t="shared" si="1"/>
        <v>150</v>
      </c>
      <c r="P5" s="35">
        <f t="shared" si="3"/>
        <v>2300</v>
      </c>
      <c r="Q5" s="35">
        <f t="shared" si="1"/>
        <v>1400</v>
      </c>
      <c r="R5" s="35">
        <f t="shared" si="1"/>
        <v>5000</v>
      </c>
      <c r="S5" s="35">
        <f t="shared" si="1"/>
        <v>-2950</v>
      </c>
    </row>
    <row r="6" spans="1:19" ht="53" customHeight="1" x14ac:dyDescent="0.6">
      <c r="A6" s="55" t="str">
        <f>Команды!A4</f>
        <v>Однажды было дважды</v>
      </c>
      <c r="B6" s="6">
        <v>0</v>
      </c>
      <c r="C6" s="6">
        <f>Числа!G3</f>
        <v>850</v>
      </c>
      <c r="D6" s="6">
        <f>Преферанс!T2</f>
        <v>1500</v>
      </c>
      <c r="E6" s="6">
        <v>800</v>
      </c>
      <c r="F6" s="6">
        <f>Разоблачение!F3</f>
        <v>800</v>
      </c>
      <c r="G6" s="6">
        <f>Аукцион!J2</f>
        <v>4200</v>
      </c>
      <c r="H6" s="6">
        <f t="array" ref="H6">IF(ISNUMBER(G6),SUM(IF('Момент истины'!$B$2:$B$30=$A6,'Момент истины'!$D$2:$F$30)),"")</f>
        <v>-2650</v>
      </c>
      <c r="I6" s="4">
        <f>IF(ISNUMBER(B6),SUM(B6:H6),"")</f>
        <v>5500</v>
      </c>
      <c r="M6" s="35">
        <f t="shared" si="2"/>
        <v>0</v>
      </c>
      <c r="N6" s="35">
        <f t="shared" si="1"/>
        <v>850</v>
      </c>
      <c r="O6" s="35">
        <f t="shared" si="1"/>
        <v>1500</v>
      </c>
      <c r="P6" s="35" t="str">
        <f t="shared" si="3"/>
        <v/>
      </c>
      <c r="Q6" s="35">
        <f t="shared" si="1"/>
        <v>800</v>
      </c>
      <c r="R6" s="35">
        <f t="shared" si="1"/>
        <v>4200</v>
      </c>
      <c r="S6" s="35">
        <f t="shared" si="1"/>
        <v>-2650</v>
      </c>
    </row>
    <row r="7" spans="1:19" ht="54" x14ac:dyDescent="0.6">
      <c r="A7" s="55" t="str">
        <f>Команды!A7</f>
        <v>А меня не прет</v>
      </c>
      <c r="B7" s="6">
        <v>900</v>
      </c>
      <c r="C7" s="6">
        <f>Числа!G6</f>
        <v>600</v>
      </c>
      <c r="D7" s="6">
        <f>Преферанс!T5</f>
        <v>-300</v>
      </c>
      <c r="E7" s="6">
        <v>800</v>
      </c>
      <c r="F7" s="6">
        <f>Разоблачение!F6</f>
        <v>700</v>
      </c>
      <c r="G7" s="6">
        <f>Аукцион!J5</f>
        <v>3050</v>
      </c>
      <c r="H7" s="6">
        <f t="array" ref="H7">IF(ISNUMBER(G7),SUM(IF('Момент истины'!$B$2:$B$30=$A7,'Момент истины'!$D$2:$F$30)),"")</f>
        <v>-1750</v>
      </c>
      <c r="I7" s="4">
        <f>IF(ISNUMBER(B7),SUM(B7:H7),"")</f>
        <v>4000</v>
      </c>
      <c r="M7" s="35">
        <f t="shared" si="2"/>
        <v>900</v>
      </c>
      <c r="N7" s="35">
        <f t="shared" si="1"/>
        <v>600</v>
      </c>
      <c r="O7" s="35">
        <f t="shared" si="1"/>
        <v>-300</v>
      </c>
      <c r="P7" s="35" t="str">
        <f t="shared" si="3"/>
        <v/>
      </c>
      <c r="Q7" s="35">
        <f t="shared" si="1"/>
        <v>700</v>
      </c>
      <c r="R7" s="35">
        <f t="shared" si="1"/>
        <v>3050</v>
      </c>
      <c r="S7" s="35">
        <f t="shared" si="1"/>
        <v>-1750</v>
      </c>
    </row>
    <row r="8" spans="1:19" ht="54" x14ac:dyDescent="0.6">
      <c r="A8" s="55" t="str">
        <f>Команды!A8</f>
        <v>Остров предположений</v>
      </c>
      <c r="B8" s="6">
        <v>900</v>
      </c>
      <c r="C8" s="6">
        <f>Числа!G7</f>
        <v>800</v>
      </c>
      <c r="D8" s="6">
        <f>Преферанс!T6</f>
        <v>50</v>
      </c>
      <c r="E8" s="6">
        <v>700</v>
      </c>
      <c r="F8" s="6">
        <f>Разоблачение!F7</f>
        <v>-400</v>
      </c>
      <c r="G8" s="6">
        <f>Аукцион!J6</f>
        <v>5850</v>
      </c>
      <c r="H8" s="6">
        <f t="array" ref="H8">IF(ISNUMBER(G8),SUM(IF('Момент истины'!$B$2:$B$30=$A8,'Момент истины'!$D$2:$F$30)),"")</f>
        <v>-7300</v>
      </c>
      <c r="I8" s="4">
        <f>IF(ISNUMBER(B8),SUM(B8:H8),"")</f>
        <v>600</v>
      </c>
      <c r="M8" s="35">
        <f t="shared" si="2"/>
        <v>900</v>
      </c>
      <c r="N8" s="35">
        <f t="shared" si="1"/>
        <v>800</v>
      </c>
      <c r="O8" s="35">
        <f t="shared" si="1"/>
        <v>50</v>
      </c>
      <c r="P8" s="35" t="str">
        <f t="shared" si="3"/>
        <v/>
      </c>
      <c r="Q8" s="35">
        <f t="shared" si="1"/>
        <v>-400</v>
      </c>
      <c r="R8" s="35">
        <f t="shared" si="1"/>
        <v>5850</v>
      </c>
      <c r="S8" s="35">
        <f t="shared" si="1"/>
        <v>-7300</v>
      </c>
    </row>
    <row r="9" spans="1:19" ht="54" x14ac:dyDescent="0.6">
      <c r="A9" s="55" t="str">
        <f>Команды!A11</f>
        <v>Вучичи</v>
      </c>
      <c r="B9" s="6">
        <v>600</v>
      </c>
      <c r="C9" s="6">
        <f>Числа!G10</f>
        <v>1400</v>
      </c>
      <c r="D9" s="6">
        <f>Преферанс!T9</f>
        <v>-300</v>
      </c>
      <c r="E9" s="6">
        <v>800</v>
      </c>
      <c r="F9" s="6">
        <f>Разоблачение!F10</f>
        <v>200</v>
      </c>
      <c r="G9" s="6">
        <f>Аукцион!J9</f>
        <v>1800</v>
      </c>
      <c r="H9" s="6">
        <f t="array" ref="H9">IF(ISNUMBER(G9),SUM(IF('Момент истины'!$B$2:$B$30=$A9,'Момент истины'!$D$2:$F$30)),"")</f>
        <v>-4300</v>
      </c>
      <c r="I9" s="4">
        <f>IF(ISNUMBER(B9),SUM(B9:H9),"")</f>
        <v>200</v>
      </c>
      <c r="M9" s="35">
        <f t="shared" si="2"/>
        <v>600</v>
      </c>
      <c r="N9" s="35">
        <f t="shared" si="1"/>
        <v>1400</v>
      </c>
      <c r="O9" s="35">
        <f t="shared" si="1"/>
        <v>-300</v>
      </c>
      <c r="P9" s="35" t="str">
        <f t="shared" si="3"/>
        <v/>
      </c>
      <c r="Q9" s="35">
        <f t="shared" si="1"/>
        <v>200</v>
      </c>
      <c r="R9" s="35">
        <f t="shared" si="1"/>
        <v>1800</v>
      </c>
      <c r="S9" s="35">
        <f t="shared" si="1"/>
        <v>-4300</v>
      </c>
    </row>
    <row r="10" spans="1:19" ht="53.5" customHeight="1" x14ac:dyDescent="0.6">
      <c r="A10" s="55">
        <f>Команды!A12</f>
        <v>0</v>
      </c>
      <c r="B10" s="6"/>
      <c r="C10" s="6" t="str">
        <f>Числа!G11</f>
        <v/>
      </c>
      <c r="D10" s="6" t="str">
        <f>Преферанс!T10</f>
        <v/>
      </c>
      <c r="E10" s="6"/>
      <c r="F10" s="6" t="str">
        <f>Разоблачение!F11</f>
        <v/>
      </c>
      <c r="G10" s="6" t="str">
        <f>Аукцион!J10</f>
        <v/>
      </c>
      <c r="H10" s="6" t="str">
        <f t="array" ref="H10">IF(ISNUMBER(G10),SUM(IF('Момент истины'!$B$2:$B$30=$A10,'Момент истины'!$D$2:$F$30)),"")</f>
        <v/>
      </c>
      <c r="I10" s="4" t="str">
        <f t="shared" ref="I2:I17" si="4">IF(ISNUMBER(B10),SUM(B10:H10),"")</f>
        <v/>
      </c>
      <c r="M10" s="35" t="str">
        <f t="shared" si="2"/>
        <v/>
      </c>
      <c r="N10" s="35" t="str">
        <f t="shared" si="1"/>
        <v/>
      </c>
      <c r="O10" s="35" t="str">
        <f t="shared" si="1"/>
        <v/>
      </c>
      <c r="P10" s="35" t="str">
        <f t="shared" si="3"/>
        <v/>
      </c>
      <c r="Q10" s="35" t="str">
        <f t="shared" si="1"/>
        <v/>
      </c>
      <c r="R10" s="35" t="str">
        <f t="shared" si="1"/>
        <v/>
      </c>
      <c r="S10" s="35" t="str">
        <f t="shared" si="1"/>
        <v/>
      </c>
    </row>
    <row r="11" spans="1:19" ht="54" x14ac:dyDescent="0.6">
      <c r="A11" s="55">
        <f>Команды!A13</f>
        <v>0</v>
      </c>
      <c r="B11" s="6"/>
      <c r="C11" s="6" t="str">
        <f>Числа!G12</f>
        <v/>
      </c>
      <c r="D11" s="6" t="str">
        <f>Преферанс!T11</f>
        <v/>
      </c>
      <c r="E11" s="6"/>
      <c r="F11" s="6" t="str">
        <f>Разоблачение!F12</f>
        <v/>
      </c>
      <c r="G11" s="6" t="str">
        <f>Аукцион!J11</f>
        <v/>
      </c>
      <c r="H11" s="6" t="str">
        <f t="array" ref="H11">IF(ISNUMBER(G11),SUM(IF('Момент истины'!$B$2:$B$30=$A11,'Момент истины'!$D$2:$F$30)),"")</f>
        <v/>
      </c>
      <c r="I11" s="4" t="str">
        <f t="shared" si="4"/>
        <v/>
      </c>
      <c r="M11" s="35" t="str">
        <f t="shared" si="2"/>
        <v/>
      </c>
      <c r="N11" s="35" t="str">
        <f t="shared" si="1"/>
        <v/>
      </c>
      <c r="O11" s="35" t="str">
        <f t="shared" si="1"/>
        <v/>
      </c>
      <c r="P11" s="35" t="str">
        <f t="shared" si="3"/>
        <v/>
      </c>
      <c r="Q11" s="35" t="str">
        <f t="shared" si="1"/>
        <v/>
      </c>
      <c r="R11" s="35" t="str">
        <f t="shared" si="1"/>
        <v/>
      </c>
      <c r="S11" s="35" t="str">
        <f t="shared" si="1"/>
        <v/>
      </c>
    </row>
    <row r="12" spans="1:19" ht="54" x14ac:dyDescent="0.6">
      <c r="A12" s="55">
        <f>Команды!A14</f>
        <v>0</v>
      </c>
      <c r="B12" s="6"/>
      <c r="C12" s="6" t="str">
        <f>Числа!G13</f>
        <v/>
      </c>
      <c r="D12" s="6" t="str">
        <f>Преферанс!T12</f>
        <v/>
      </c>
      <c r="E12" s="6"/>
      <c r="F12" s="6" t="str">
        <f>Разоблачение!F13</f>
        <v/>
      </c>
      <c r="G12" s="6" t="str">
        <f>Аукцион!J12</f>
        <v/>
      </c>
      <c r="H12" s="6" t="str">
        <f t="array" ref="H12">IF(ISNUMBER(G12),SUM(IF('Момент истины'!$B$2:$B$30=$A12,'Момент истины'!$D$2:$F$30)),"")</f>
        <v/>
      </c>
      <c r="I12" s="4" t="str">
        <f t="shared" si="4"/>
        <v/>
      </c>
      <c r="M12" s="35" t="str">
        <f t="shared" si="2"/>
        <v/>
      </c>
      <c r="N12" s="35" t="str">
        <f t="shared" si="1"/>
        <v/>
      </c>
      <c r="O12" s="35" t="str">
        <f t="shared" si="1"/>
        <v/>
      </c>
      <c r="P12" s="35" t="str">
        <f t="shared" si="3"/>
        <v/>
      </c>
      <c r="Q12" s="35" t="str">
        <f t="shared" si="1"/>
        <v/>
      </c>
      <c r="R12" s="35" t="str">
        <f t="shared" si="1"/>
        <v/>
      </c>
      <c r="S12" s="35" t="str">
        <f t="shared" si="1"/>
        <v/>
      </c>
    </row>
    <row r="13" spans="1:19" ht="54" x14ac:dyDescent="0.6">
      <c r="A13" s="55">
        <f>Команды!A15</f>
        <v>0</v>
      </c>
      <c r="B13" s="6"/>
      <c r="C13" s="6" t="str">
        <f>Числа!G14</f>
        <v/>
      </c>
      <c r="D13" s="6" t="str">
        <f>Преферанс!T13</f>
        <v/>
      </c>
      <c r="E13" s="6"/>
      <c r="F13" s="6" t="str">
        <f>Разоблачение!F14</f>
        <v/>
      </c>
      <c r="G13" s="6" t="str">
        <f>Аукцион!J13</f>
        <v/>
      </c>
      <c r="H13" s="6" t="str">
        <f t="array" ref="H13">IF(ISNUMBER(G13),SUM(IF('Момент истины'!$B$2:$B$30=$A13,'Момент истины'!$D$2:$F$30)),"")</f>
        <v/>
      </c>
      <c r="I13" s="4" t="str">
        <f t="shared" si="4"/>
        <v/>
      </c>
      <c r="M13" s="35" t="str">
        <f t="shared" si="2"/>
        <v/>
      </c>
      <c r="N13" s="35" t="str">
        <f t="shared" si="1"/>
        <v/>
      </c>
      <c r="O13" s="35" t="str">
        <f t="shared" si="1"/>
        <v/>
      </c>
      <c r="P13" s="35" t="str">
        <f t="shared" si="3"/>
        <v/>
      </c>
      <c r="Q13" s="35" t="str">
        <f t="shared" si="1"/>
        <v/>
      </c>
      <c r="R13" s="35" t="str">
        <f t="shared" si="1"/>
        <v/>
      </c>
      <c r="S13" s="35" t="str">
        <f t="shared" si="1"/>
        <v/>
      </c>
    </row>
    <row r="14" spans="1:19" ht="54" x14ac:dyDescent="0.6">
      <c r="A14" s="55">
        <f>Команды!A16</f>
        <v>0</v>
      </c>
      <c r="B14" s="6"/>
      <c r="C14" s="6" t="str">
        <f>Числа!G15</f>
        <v/>
      </c>
      <c r="D14" s="6" t="str">
        <f>Преферанс!T14</f>
        <v/>
      </c>
      <c r="E14" s="6"/>
      <c r="F14" s="6" t="str">
        <f>Разоблачение!F15</f>
        <v/>
      </c>
      <c r="G14" s="6" t="str">
        <f>Аукцион!J14</f>
        <v/>
      </c>
      <c r="H14" s="6" t="str">
        <f t="array" ref="H14">IF(ISNUMBER(G14),SUM(IF('Момент истины'!$B$2:$B$30=$A14,'Момент истины'!$D$2:$F$30)),"")</f>
        <v/>
      </c>
      <c r="I14" s="4" t="str">
        <f t="shared" si="4"/>
        <v/>
      </c>
      <c r="M14" s="35" t="str">
        <f t="shared" si="2"/>
        <v/>
      </c>
      <c r="N14" s="35" t="str">
        <f t="shared" si="1"/>
        <v/>
      </c>
      <c r="O14" s="35" t="str">
        <f t="shared" si="1"/>
        <v/>
      </c>
      <c r="P14" s="35" t="str">
        <f t="shared" si="3"/>
        <v/>
      </c>
      <c r="Q14" s="35" t="str">
        <f t="shared" si="1"/>
        <v/>
      </c>
      <c r="R14" s="35" t="str">
        <f t="shared" si="1"/>
        <v/>
      </c>
      <c r="S14" s="35" t="str">
        <f t="shared" si="1"/>
        <v/>
      </c>
    </row>
    <row r="15" spans="1:19" ht="54" x14ac:dyDescent="0.6">
      <c r="A15" s="55">
        <f>Команды!A17</f>
        <v>0</v>
      </c>
      <c r="B15" s="6"/>
      <c r="C15" s="6" t="str">
        <f>Числа!G16</f>
        <v/>
      </c>
      <c r="D15" s="6" t="str">
        <f>Преферанс!T15</f>
        <v/>
      </c>
      <c r="E15" s="6"/>
      <c r="F15" s="6" t="str">
        <f>Разоблачение!F16</f>
        <v/>
      </c>
      <c r="G15" s="6" t="str">
        <f>Аукцион!J15</f>
        <v/>
      </c>
      <c r="H15" s="6" t="str">
        <f t="array" ref="H15">IF(ISNUMBER(G15),SUM(IF('Момент истины'!$B$2:$B$30=$A15,'Момент истины'!$D$2:$F$30)),"")</f>
        <v/>
      </c>
      <c r="I15" s="4" t="str">
        <f t="shared" si="4"/>
        <v/>
      </c>
      <c r="M15" s="35" t="str">
        <f t="shared" si="2"/>
        <v/>
      </c>
      <c r="N15" s="35" t="str">
        <f t="shared" si="1"/>
        <v/>
      </c>
      <c r="O15" s="35" t="str">
        <f t="shared" si="1"/>
        <v/>
      </c>
      <c r="P15" s="35" t="str">
        <f t="shared" si="3"/>
        <v/>
      </c>
      <c r="Q15" s="35" t="str">
        <f t="shared" si="1"/>
        <v/>
      </c>
      <c r="R15" s="35" t="str">
        <f t="shared" si="1"/>
        <v/>
      </c>
      <c r="S15" s="35" t="str">
        <f t="shared" si="1"/>
        <v/>
      </c>
    </row>
    <row r="16" spans="1:19" ht="54" customHeight="1" x14ac:dyDescent="0.6">
      <c r="A16" s="55">
        <f>Команды!A18</f>
        <v>0</v>
      </c>
      <c r="B16" s="6"/>
      <c r="C16" s="6" t="str">
        <f>Числа!G17</f>
        <v/>
      </c>
      <c r="D16" s="6" t="str">
        <f>Преферанс!T16</f>
        <v/>
      </c>
      <c r="E16" s="6"/>
      <c r="F16" s="6" t="str">
        <f>Разоблачение!F17</f>
        <v/>
      </c>
      <c r="G16" s="6" t="str">
        <f>Аукцион!J16</f>
        <v/>
      </c>
      <c r="H16" s="6" t="str">
        <f t="array" ref="H16">IF(ISNUMBER(G16),SUM(IF('Момент истины'!$B$2:$B$30=$A16,'Момент истины'!$D$2:$F$30)),"")</f>
        <v/>
      </c>
      <c r="I16" s="4" t="str">
        <f t="shared" si="4"/>
        <v/>
      </c>
      <c r="M16" s="35" t="str">
        <f t="shared" si="2"/>
        <v/>
      </c>
      <c r="N16" s="35" t="str">
        <f t="shared" si="1"/>
        <v/>
      </c>
      <c r="O16" s="35" t="str">
        <f t="shared" si="1"/>
        <v/>
      </c>
      <c r="P16" s="35" t="str">
        <f t="shared" si="3"/>
        <v/>
      </c>
      <c r="Q16" s="35" t="str">
        <f t="shared" si="1"/>
        <v/>
      </c>
      <c r="R16" s="35" t="str">
        <f t="shared" si="1"/>
        <v/>
      </c>
      <c r="S16" s="35" t="str">
        <f t="shared" si="1"/>
        <v/>
      </c>
    </row>
    <row r="17" spans="1:19" ht="54" customHeight="1" x14ac:dyDescent="0.6">
      <c r="A17" s="55">
        <f>Команды!A19</f>
        <v>0</v>
      </c>
      <c r="B17" s="6"/>
      <c r="C17" s="6" t="str">
        <f>Числа!G18</f>
        <v/>
      </c>
      <c r="D17" s="6" t="str">
        <f>Преферанс!T17</f>
        <v/>
      </c>
      <c r="E17" s="6"/>
      <c r="F17" s="6" t="str">
        <f>Разоблачение!F18</f>
        <v/>
      </c>
      <c r="G17" s="6" t="str">
        <f>Аукцион!J17</f>
        <v/>
      </c>
      <c r="H17" s="6" t="str">
        <f t="array" ref="H17">IF(ISNUMBER(G17),SUM(IF('Момент истины'!$B$2:$B$30=$A17,'Момент истины'!$D$2:$F$30)),"")</f>
        <v/>
      </c>
      <c r="I17" s="4" t="str">
        <f t="shared" si="4"/>
        <v/>
      </c>
      <c r="M17" s="35" t="str">
        <f t="shared" si="2"/>
        <v/>
      </c>
      <c r="N17" s="35" t="str">
        <f t="shared" si="1"/>
        <v/>
      </c>
      <c r="O17" s="35" t="str">
        <f t="shared" si="1"/>
        <v/>
      </c>
      <c r="P17" s="35" t="str">
        <f t="shared" si="3"/>
        <v/>
      </c>
      <c r="Q17" s="35" t="str">
        <f t="shared" si="1"/>
        <v/>
      </c>
      <c r="R17" s="35" t="str">
        <f t="shared" si="1"/>
        <v/>
      </c>
      <c r="S17" s="35" t="str">
        <f t="shared" si="1"/>
        <v/>
      </c>
    </row>
    <row r="18" spans="1:19" ht="54" customHeight="1" x14ac:dyDescent="0.6">
      <c r="A18" s="55">
        <f>Команды!A20</f>
        <v>0</v>
      </c>
      <c r="B18" s="6"/>
      <c r="C18" s="6" t="str">
        <f>Числа!G19</f>
        <v/>
      </c>
      <c r="D18" s="6" t="str">
        <f>Преферанс!T18</f>
        <v/>
      </c>
      <c r="E18" s="6"/>
      <c r="F18" s="6" t="str">
        <f>Разоблачение!F19</f>
        <v/>
      </c>
      <c r="G18" s="6" t="str">
        <f>Аукцион!J18</f>
        <v/>
      </c>
      <c r="H18" s="6" t="str">
        <f t="array" ref="H18">IF(ISNUMBER(G18),SUM(IF('Момент истины'!$B$2:$B$30=$A18,'Момент истины'!$D$2:$F$30)),"")</f>
        <v/>
      </c>
      <c r="I18" s="4" t="str">
        <f t="shared" ref="I18:I21" si="5">IF(ISNUMBER(B18),SUM(B18:H18),"")</f>
        <v/>
      </c>
      <c r="M18" s="35" t="str">
        <f t="shared" si="2"/>
        <v/>
      </c>
      <c r="N18" s="35" t="str">
        <f t="shared" ref="N18:N32" si="6">IF(N$1&gt;1,IF(C18=MAX(C$2:C$26),SUM(C18:D18),""),C18)</f>
        <v/>
      </c>
      <c r="O18" s="35" t="str">
        <f t="shared" ref="O18:O32" si="7">IF(O$1&gt;1,IF(D18=MAX(D$2:D$26),SUM(D18:E18),""),D18)</f>
        <v/>
      </c>
      <c r="P18" s="35" t="str">
        <f t="shared" si="3"/>
        <v/>
      </c>
      <c r="Q18" s="35" t="str">
        <f t="shared" ref="Q18:Q32" si="8">IF(Q$1&gt;1,IF(F18=MAX(F$2:F$26),SUM(F18:G18),""),F18)</f>
        <v/>
      </c>
      <c r="R18" s="35" t="str">
        <f t="shared" ref="R18:S32" si="9">IF(R$1&gt;1,IF(G18=MAX(G$2:G$26),SUM(G18:H18),""),G18)</f>
        <v/>
      </c>
      <c r="S18" s="35" t="str">
        <f t="shared" si="9"/>
        <v/>
      </c>
    </row>
    <row r="19" spans="1:19" ht="54" customHeight="1" x14ac:dyDescent="0.6">
      <c r="A19" s="55">
        <f>Команды!A21</f>
        <v>0</v>
      </c>
      <c r="B19" s="6"/>
      <c r="C19" s="6" t="str">
        <f>Числа!G20</f>
        <v/>
      </c>
      <c r="D19" s="6" t="str">
        <f>Преферанс!T19</f>
        <v/>
      </c>
      <c r="E19" s="6"/>
      <c r="F19" s="6" t="str">
        <f>Разоблачение!F20</f>
        <v/>
      </c>
      <c r="G19" s="6" t="str">
        <f>Аукцион!J19</f>
        <v/>
      </c>
      <c r="H19" s="6" t="str">
        <f t="array" ref="H19">IF(ISNUMBER(G19),SUM(IF('Момент истины'!$B$2:$B$30=$A19,'Момент истины'!$D$2:$F$30)),"")</f>
        <v/>
      </c>
      <c r="I19" s="4" t="str">
        <f t="shared" si="5"/>
        <v/>
      </c>
      <c r="M19" s="35" t="str">
        <f t="shared" si="2"/>
        <v/>
      </c>
      <c r="N19" s="35" t="str">
        <f t="shared" si="6"/>
        <v/>
      </c>
      <c r="O19" s="35" t="str">
        <f t="shared" si="7"/>
        <v/>
      </c>
      <c r="P19" s="35" t="str">
        <f t="shared" si="3"/>
        <v/>
      </c>
      <c r="Q19" s="35" t="str">
        <f t="shared" si="8"/>
        <v/>
      </c>
      <c r="R19" s="35" t="str">
        <f t="shared" si="9"/>
        <v/>
      </c>
      <c r="S19" s="35" t="str">
        <f t="shared" si="9"/>
        <v/>
      </c>
    </row>
    <row r="20" spans="1:19" ht="54" customHeight="1" x14ac:dyDescent="0.6">
      <c r="A20" s="55">
        <f>Команды!A22</f>
        <v>0</v>
      </c>
      <c r="B20" s="6"/>
      <c r="C20" s="6" t="str">
        <f>Числа!G21</f>
        <v/>
      </c>
      <c r="D20" s="6" t="str">
        <f>Преферанс!T20</f>
        <v/>
      </c>
      <c r="E20" s="6"/>
      <c r="F20" s="6" t="str">
        <f>Разоблачение!F21</f>
        <v/>
      </c>
      <c r="G20" s="6" t="str">
        <f>Аукцион!J20</f>
        <v/>
      </c>
      <c r="H20" s="6" t="str">
        <f t="array" ref="H20">IF(ISNUMBER(G20),SUM(IF('Момент истины'!$B$2:$B$30=$A20,'Момент истины'!$D$2:$F$30)),"")</f>
        <v/>
      </c>
      <c r="I20" s="4" t="str">
        <f t="shared" si="5"/>
        <v/>
      </c>
      <c r="M20" s="35" t="str">
        <f t="shared" si="2"/>
        <v/>
      </c>
      <c r="N20" s="35" t="str">
        <f t="shared" si="6"/>
        <v/>
      </c>
      <c r="O20" s="35" t="str">
        <f t="shared" si="7"/>
        <v/>
      </c>
      <c r="P20" s="35" t="str">
        <f t="shared" si="3"/>
        <v/>
      </c>
      <c r="Q20" s="35" t="str">
        <f t="shared" si="8"/>
        <v/>
      </c>
      <c r="R20" s="35" t="str">
        <f t="shared" si="9"/>
        <v/>
      </c>
      <c r="S20" s="35" t="str">
        <f t="shared" si="9"/>
        <v/>
      </c>
    </row>
    <row r="21" spans="1:19" ht="54" customHeight="1" x14ac:dyDescent="0.6">
      <c r="A21" s="55">
        <f>Команды!A23</f>
        <v>0</v>
      </c>
      <c r="B21" s="6"/>
      <c r="C21" s="6" t="str">
        <f>Числа!G22</f>
        <v/>
      </c>
      <c r="D21" s="6" t="str">
        <f>Преферанс!T21</f>
        <v/>
      </c>
      <c r="E21" s="6"/>
      <c r="F21" s="6" t="str">
        <f>Разоблачение!F22</f>
        <v/>
      </c>
      <c r="G21" s="6" t="str">
        <f>Аукцион!J21</f>
        <v/>
      </c>
      <c r="H21" s="6" t="str">
        <f t="array" ref="H21">IF(ISNUMBER(G21),SUM(IF('Момент истины'!$B$2:$B$30=$A21,'Момент истины'!$D$2:$F$30)),"")</f>
        <v/>
      </c>
      <c r="I21" s="4" t="str">
        <f t="shared" si="5"/>
        <v/>
      </c>
      <c r="M21" s="35" t="str">
        <f t="shared" si="2"/>
        <v/>
      </c>
      <c r="N21" s="35" t="str">
        <f t="shared" si="6"/>
        <v/>
      </c>
      <c r="O21" s="35" t="str">
        <f t="shared" si="7"/>
        <v/>
      </c>
      <c r="P21" s="35" t="str">
        <f t="shared" si="3"/>
        <v/>
      </c>
      <c r="Q21" s="35" t="str">
        <f t="shared" si="8"/>
        <v/>
      </c>
      <c r="R21" s="35" t="str">
        <f t="shared" si="9"/>
        <v/>
      </c>
      <c r="S21" s="35" t="str">
        <f t="shared" si="9"/>
        <v/>
      </c>
    </row>
    <row r="22" spans="1:19" x14ac:dyDescent="0.4">
      <c r="M22" s="35" t="str">
        <f t="shared" si="2"/>
        <v/>
      </c>
      <c r="N22" s="35">
        <f t="shared" si="6"/>
        <v>0</v>
      </c>
      <c r="O22" s="35">
        <f t="shared" si="7"/>
        <v>0</v>
      </c>
      <c r="P22" s="35" t="str">
        <f t="shared" si="3"/>
        <v/>
      </c>
      <c r="Q22" s="35">
        <f t="shared" si="8"/>
        <v>0</v>
      </c>
      <c r="R22" s="35">
        <f t="shared" si="9"/>
        <v>0</v>
      </c>
      <c r="S22" s="35">
        <f t="shared" si="9"/>
        <v>0</v>
      </c>
    </row>
    <row r="23" spans="1:19" x14ac:dyDescent="0.4">
      <c r="M23" s="35" t="str">
        <f t="shared" si="2"/>
        <v/>
      </c>
      <c r="N23" s="35">
        <f t="shared" si="6"/>
        <v>0</v>
      </c>
      <c r="O23" s="35">
        <f t="shared" si="7"/>
        <v>0</v>
      </c>
      <c r="P23" s="35" t="str">
        <f t="shared" si="3"/>
        <v/>
      </c>
      <c r="Q23" s="35">
        <f t="shared" si="8"/>
        <v>0</v>
      </c>
      <c r="R23" s="35">
        <f t="shared" si="9"/>
        <v>0</v>
      </c>
      <c r="S23" s="35">
        <f t="shared" si="9"/>
        <v>0</v>
      </c>
    </row>
    <row r="24" spans="1:19" x14ac:dyDescent="0.4">
      <c r="M24" s="35" t="str">
        <f t="shared" si="2"/>
        <v/>
      </c>
      <c r="N24" s="35">
        <f t="shared" si="6"/>
        <v>0</v>
      </c>
      <c r="O24" s="35">
        <f t="shared" si="7"/>
        <v>0</v>
      </c>
      <c r="P24" s="35" t="str">
        <f t="shared" si="3"/>
        <v/>
      </c>
      <c r="Q24" s="35">
        <f t="shared" si="8"/>
        <v>0</v>
      </c>
      <c r="R24" s="35">
        <f t="shared" si="9"/>
        <v>0</v>
      </c>
      <c r="S24" s="35">
        <f t="shared" si="9"/>
        <v>0</v>
      </c>
    </row>
    <row r="25" spans="1:19" x14ac:dyDescent="0.4">
      <c r="M25" s="35" t="str">
        <f t="shared" si="2"/>
        <v/>
      </c>
      <c r="N25" s="35">
        <f t="shared" si="6"/>
        <v>0</v>
      </c>
      <c r="O25" s="35">
        <f t="shared" si="7"/>
        <v>0</v>
      </c>
      <c r="P25" s="35" t="str">
        <f t="shared" si="3"/>
        <v/>
      </c>
      <c r="Q25" s="35">
        <f t="shared" si="8"/>
        <v>0</v>
      </c>
      <c r="R25" s="35">
        <f t="shared" si="9"/>
        <v>0</v>
      </c>
      <c r="S25" s="35">
        <f t="shared" si="9"/>
        <v>0</v>
      </c>
    </row>
    <row r="26" spans="1:19" x14ac:dyDescent="0.4">
      <c r="M26" s="35" t="str">
        <f t="shared" si="2"/>
        <v/>
      </c>
      <c r="N26" s="35">
        <f t="shared" si="6"/>
        <v>0</v>
      </c>
      <c r="O26" s="35">
        <f t="shared" si="7"/>
        <v>0</v>
      </c>
      <c r="P26" s="35" t="str">
        <f t="shared" si="3"/>
        <v/>
      </c>
      <c r="Q26" s="35">
        <f t="shared" si="8"/>
        <v>0</v>
      </c>
      <c r="R26" s="35">
        <f t="shared" si="9"/>
        <v>0</v>
      </c>
      <c r="S26" s="35">
        <f t="shared" si="9"/>
        <v>0</v>
      </c>
    </row>
    <row r="27" spans="1:19" x14ac:dyDescent="0.4">
      <c r="M27" s="35" t="str">
        <f t="shared" si="2"/>
        <v/>
      </c>
      <c r="N27" s="35">
        <f t="shared" si="6"/>
        <v>0</v>
      </c>
      <c r="O27" s="35">
        <f t="shared" si="7"/>
        <v>0</v>
      </c>
      <c r="P27" s="35" t="str">
        <f t="shared" si="3"/>
        <v/>
      </c>
      <c r="Q27" s="35">
        <f t="shared" si="8"/>
        <v>0</v>
      </c>
      <c r="R27" s="35">
        <f t="shared" si="9"/>
        <v>0</v>
      </c>
      <c r="S27" s="35">
        <f t="shared" si="9"/>
        <v>0</v>
      </c>
    </row>
    <row r="28" spans="1:19" x14ac:dyDescent="0.4">
      <c r="M28" s="35" t="str">
        <f t="shared" si="2"/>
        <v/>
      </c>
      <c r="N28" s="35">
        <f t="shared" si="6"/>
        <v>0</v>
      </c>
      <c r="O28" s="35">
        <f t="shared" si="7"/>
        <v>0</v>
      </c>
      <c r="P28" s="35" t="str">
        <f t="shared" si="3"/>
        <v/>
      </c>
      <c r="Q28" s="35">
        <f t="shared" si="8"/>
        <v>0</v>
      </c>
      <c r="R28" s="35">
        <f t="shared" si="9"/>
        <v>0</v>
      </c>
      <c r="S28" s="35">
        <f t="shared" si="9"/>
        <v>0</v>
      </c>
    </row>
    <row r="29" spans="1:19" x14ac:dyDescent="0.4">
      <c r="M29" s="35" t="str">
        <f t="shared" si="2"/>
        <v/>
      </c>
      <c r="N29" s="35">
        <f t="shared" si="6"/>
        <v>0</v>
      </c>
      <c r="O29" s="35">
        <f t="shared" si="7"/>
        <v>0</v>
      </c>
      <c r="P29" s="35" t="str">
        <f t="shared" si="3"/>
        <v/>
      </c>
      <c r="Q29" s="35">
        <f t="shared" si="8"/>
        <v>0</v>
      </c>
      <c r="R29" s="35">
        <f t="shared" si="9"/>
        <v>0</v>
      </c>
      <c r="S29" s="35">
        <f t="shared" si="9"/>
        <v>0</v>
      </c>
    </row>
    <row r="30" spans="1:19" x14ac:dyDescent="0.4">
      <c r="M30" s="35" t="str">
        <f t="shared" si="2"/>
        <v/>
      </c>
      <c r="N30" s="35">
        <f t="shared" si="6"/>
        <v>0</v>
      </c>
      <c r="O30" s="35">
        <f t="shared" si="7"/>
        <v>0</v>
      </c>
      <c r="P30" s="35" t="str">
        <f t="shared" si="3"/>
        <v/>
      </c>
      <c r="Q30" s="35">
        <f t="shared" si="8"/>
        <v>0</v>
      </c>
      <c r="R30" s="35">
        <f t="shared" si="9"/>
        <v>0</v>
      </c>
      <c r="S30" s="35">
        <f t="shared" si="9"/>
        <v>0</v>
      </c>
    </row>
    <row r="31" spans="1:19" x14ac:dyDescent="0.4">
      <c r="M31" s="35" t="str">
        <f t="shared" si="2"/>
        <v/>
      </c>
      <c r="N31" s="35">
        <f t="shared" si="6"/>
        <v>0</v>
      </c>
      <c r="O31" s="35">
        <f t="shared" si="7"/>
        <v>0</v>
      </c>
      <c r="P31" s="35" t="str">
        <f t="shared" si="3"/>
        <v/>
      </c>
      <c r="Q31" s="35">
        <f t="shared" si="8"/>
        <v>0</v>
      </c>
      <c r="R31" s="35">
        <f t="shared" si="9"/>
        <v>0</v>
      </c>
      <c r="S31" s="35">
        <f t="shared" si="9"/>
        <v>0</v>
      </c>
    </row>
    <row r="32" spans="1:19" x14ac:dyDescent="0.4">
      <c r="M32" s="35" t="str">
        <f t="shared" si="2"/>
        <v/>
      </c>
      <c r="N32" s="35">
        <f t="shared" si="6"/>
        <v>0</v>
      </c>
      <c r="O32" s="35">
        <f t="shared" si="7"/>
        <v>0</v>
      </c>
      <c r="P32" s="35" t="str">
        <f t="shared" si="3"/>
        <v/>
      </c>
      <c r="Q32" s="35">
        <f t="shared" si="8"/>
        <v>0</v>
      </c>
      <c r="R32" s="35">
        <f t="shared" si="9"/>
        <v>0</v>
      </c>
      <c r="S32" s="35">
        <f t="shared" si="9"/>
        <v>0</v>
      </c>
    </row>
  </sheetData>
  <sortState xmlns:xlrd2="http://schemas.microsoft.com/office/spreadsheetml/2017/richdata2" ref="A2:I9">
    <sortCondition descending="1" ref="I1:I9"/>
  </sortState>
  <conditionalFormatting sqref="I2:I21">
    <cfRule type="top10" dxfId="67" priority="14" rank="1"/>
  </conditionalFormatting>
  <conditionalFormatting sqref="B2">
    <cfRule type="expression" dxfId="66" priority="6">
      <formula>M2=MAX(M$2:M$32)</formula>
    </cfRule>
  </conditionalFormatting>
  <conditionalFormatting sqref="B3:B21">
    <cfRule type="expression" dxfId="65" priority="5">
      <formula>M3=MAX(M$2:M$32)</formula>
    </cfRule>
  </conditionalFormatting>
  <conditionalFormatting sqref="C2:G2">
    <cfRule type="expression" dxfId="64" priority="4">
      <formula>N2=MAX(N$2:N$32)</formula>
    </cfRule>
  </conditionalFormatting>
  <conditionalFormatting sqref="C3:G21">
    <cfRule type="expression" dxfId="63" priority="3">
      <formula>N3=MAX(N$2:N$32)</formula>
    </cfRule>
  </conditionalFormatting>
  <conditionalFormatting sqref="H2:H21">
    <cfRule type="expression" dxfId="62" priority="2">
      <formula>S2=MAX(S$2:S$32)</formula>
    </cfRule>
  </conditionalFormatting>
  <pageMargins left="0.25" right="0.25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3"/>
  <sheetViews>
    <sheetView showGridLines="0" zoomScale="58" zoomScaleNormal="58" workbookViewId="0">
      <selection activeCell="F3" sqref="F3"/>
    </sheetView>
  </sheetViews>
  <sheetFormatPr baseColWidth="10" defaultColWidth="8.83203125" defaultRowHeight="15" x14ac:dyDescent="0.2"/>
  <cols>
    <col min="1" max="1" width="97.33203125" customWidth="1"/>
    <col min="2" max="6" width="41.5" customWidth="1"/>
    <col min="7" max="7" width="54.83203125" style="22" customWidth="1"/>
  </cols>
  <sheetData>
    <row r="1" spans="1:7" ht="7.25" customHeight="1" x14ac:dyDescent="0.2"/>
    <row r="2" spans="1:7" ht="62" x14ac:dyDescent="0.7">
      <c r="A2" s="14" t="s">
        <v>7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6</v>
      </c>
    </row>
    <row r="3" spans="1:7" ht="54" x14ac:dyDescent="0.6">
      <c r="A3" s="56" t="str">
        <f>Команды!A4</f>
        <v>Однажды было дважды</v>
      </c>
      <c r="B3" s="6">
        <v>150</v>
      </c>
      <c r="C3" s="6">
        <v>-100</v>
      </c>
      <c r="D3" s="6">
        <v>0</v>
      </c>
      <c r="E3" s="6">
        <v>300</v>
      </c>
      <c r="F3" s="6">
        <v>500</v>
      </c>
      <c r="G3" s="4">
        <f>IF(ISNUMBER(B3),SUM(B3:F3),"")</f>
        <v>850</v>
      </c>
    </row>
    <row r="4" spans="1:7" ht="54" x14ac:dyDescent="0.6">
      <c r="A4" s="56" t="str">
        <f>Команды!A5</f>
        <v>Тихая дружба с овощем</v>
      </c>
      <c r="B4" s="6">
        <v>-100</v>
      </c>
      <c r="C4" s="6">
        <v>100</v>
      </c>
      <c r="D4" s="6">
        <v>-100</v>
      </c>
      <c r="E4" s="6">
        <v>500</v>
      </c>
      <c r="F4" s="6">
        <v>200</v>
      </c>
      <c r="G4" s="4">
        <f t="shared" ref="G4:G18" si="0">IF(ISNUMBER(B4),SUM(B4:F4),"")</f>
        <v>600</v>
      </c>
    </row>
    <row r="5" spans="1:7" ht="54" x14ac:dyDescent="0.6">
      <c r="A5" s="56" t="str">
        <f>Команды!A6</f>
        <v>Суровая реальность</v>
      </c>
      <c r="B5" s="6">
        <v>400</v>
      </c>
      <c r="C5" s="6">
        <v>0</v>
      </c>
      <c r="D5" s="6">
        <v>400</v>
      </c>
      <c r="E5" s="6">
        <v>100</v>
      </c>
      <c r="F5" s="6">
        <v>300</v>
      </c>
      <c r="G5" s="4">
        <f t="shared" si="0"/>
        <v>1200</v>
      </c>
    </row>
    <row r="6" spans="1:7" ht="54" x14ac:dyDescent="0.6">
      <c r="A6" s="56" t="str">
        <f>Команды!A7</f>
        <v>А меня не прет</v>
      </c>
      <c r="B6" s="6">
        <v>0</v>
      </c>
      <c r="C6" s="6">
        <v>0</v>
      </c>
      <c r="D6" s="6">
        <v>200</v>
      </c>
      <c r="E6" s="6">
        <v>400</v>
      </c>
      <c r="F6" s="6">
        <v>0</v>
      </c>
      <c r="G6" s="4">
        <f t="shared" si="0"/>
        <v>600</v>
      </c>
    </row>
    <row r="7" spans="1:7" ht="54" x14ac:dyDescent="0.6">
      <c r="A7" s="56" t="str">
        <f>Команды!A8</f>
        <v>Остров предположений</v>
      </c>
      <c r="B7" s="6">
        <v>500</v>
      </c>
      <c r="C7" s="6">
        <v>300</v>
      </c>
      <c r="D7" s="6">
        <v>100</v>
      </c>
      <c r="E7" s="6">
        <v>0</v>
      </c>
      <c r="F7" s="6">
        <v>-100</v>
      </c>
      <c r="G7" s="4">
        <f t="shared" si="0"/>
        <v>800</v>
      </c>
    </row>
    <row r="8" spans="1:7" ht="54" x14ac:dyDescent="0.6">
      <c r="A8" s="56" t="str">
        <f>Команды!A9</f>
        <v>Кроме шуток</v>
      </c>
      <c r="B8" s="6">
        <v>0</v>
      </c>
      <c r="C8" s="6">
        <v>400</v>
      </c>
      <c r="D8" s="6">
        <v>300</v>
      </c>
      <c r="E8" s="6">
        <v>-100</v>
      </c>
      <c r="F8" s="6">
        <v>100</v>
      </c>
      <c r="G8" s="4">
        <f t="shared" si="0"/>
        <v>700</v>
      </c>
    </row>
    <row r="9" spans="1:7" ht="54" x14ac:dyDescent="0.6">
      <c r="A9" s="56" t="str">
        <f>Команды!A10</f>
        <v>Час пробил</v>
      </c>
      <c r="B9" s="6">
        <v>150</v>
      </c>
      <c r="C9" s="6">
        <v>200</v>
      </c>
      <c r="D9" s="6">
        <v>500</v>
      </c>
      <c r="E9" s="6">
        <v>0</v>
      </c>
      <c r="F9" s="6">
        <v>0</v>
      </c>
      <c r="G9" s="4">
        <f t="shared" si="0"/>
        <v>850</v>
      </c>
    </row>
    <row r="10" spans="1:7" ht="54" x14ac:dyDescent="0.6">
      <c r="A10" s="56" t="str">
        <f>Команды!A11</f>
        <v>Вучичи</v>
      </c>
      <c r="B10" s="6">
        <v>300</v>
      </c>
      <c r="C10" s="6">
        <v>500</v>
      </c>
      <c r="D10" s="6">
        <v>0</v>
      </c>
      <c r="E10" s="6">
        <v>200</v>
      </c>
      <c r="F10" s="6">
        <v>400</v>
      </c>
      <c r="G10" s="4">
        <f t="shared" si="0"/>
        <v>1400</v>
      </c>
    </row>
    <row r="11" spans="1:7" ht="53" customHeight="1" x14ac:dyDescent="0.6">
      <c r="A11" s="56">
        <f>Команды!A12</f>
        <v>0</v>
      </c>
      <c r="B11" s="6"/>
      <c r="C11" s="6"/>
      <c r="D11" s="6"/>
      <c r="E11" s="6"/>
      <c r="F11" s="6"/>
      <c r="G11" s="4" t="str">
        <f t="shared" si="0"/>
        <v/>
      </c>
    </row>
    <row r="12" spans="1:7" ht="54" x14ac:dyDescent="0.6">
      <c r="A12" s="56">
        <f>Команды!A13</f>
        <v>0</v>
      </c>
      <c r="B12" s="6"/>
      <c r="C12" s="6"/>
      <c r="D12" s="6"/>
      <c r="E12" s="6"/>
      <c r="F12" s="6"/>
      <c r="G12" s="4" t="str">
        <f t="shared" si="0"/>
        <v/>
      </c>
    </row>
    <row r="13" spans="1:7" ht="54" x14ac:dyDescent="0.6">
      <c r="A13" s="56">
        <f>Команды!A14</f>
        <v>0</v>
      </c>
      <c r="B13" s="6"/>
      <c r="C13" s="6"/>
      <c r="D13" s="6"/>
      <c r="E13" s="6"/>
      <c r="F13" s="6"/>
      <c r="G13" s="4" t="str">
        <f t="shared" si="0"/>
        <v/>
      </c>
    </row>
    <row r="14" spans="1:7" ht="54" x14ac:dyDescent="0.6">
      <c r="A14" s="56">
        <f>Команды!A15</f>
        <v>0</v>
      </c>
      <c r="B14" s="6"/>
      <c r="C14" s="6"/>
      <c r="D14" s="6"/>
      <c r="E14" s="6"/>
      <c r="F14" s="6"/>
      <c r="G14" s="4" t="str">
        <f t="shared" si="0"/>
        <v/>
      </c>
    </row>
    <row r="15" spans="1:7" ht="54" x14ac:dyDescent="0.6">
      <c r="A15" s="56">
        <f>Команды!A16</f>
        <v>0</v>
      </c>
      <c r="B15" s="6"/>
      <c r="C15" s="6"/>
      <c r="D15" s="6"/>
      <c r="E15" s="6"/>
      <c r="F15" s="6"/>
      <c r="G15" s="4" t="str">
        <f t="shared" si="0"/>
        <v/>
      </c>
    </row>
    <row r="16" spans="1:7" ht="54" x14ac:dyDescent="0.6">
      <c r="A16" s="56">
        <f>Команды!A17</f>
        <v>0</v>
      </c>
      <c r="B16" s="6"/>
      <c r="C16" s="6"/>
      <c r="D16" s="6"/>
      <c r="E16" s="6"/>
      <c r="F16" s="6"/>
      <c r="G16" s="4" t="str">
        <f t="shared" si="0"/>
        <v/>
      </c>
    </row>
    <row r="17" spans="1:7" ht="53.5" customHeight="1" x14ac:dyDescent="0.6">
      <c r="A17" s="56">
        <f>Команды!A18</f>
        <v>0</v>
      </c>
      <c r="B17" s="6"/>
      <c r="C17" s="6"/>
      <c r="D17" s="6"/>
      <c r="E17" s="6"/>
      <c r="F17" s="6"/>
      <c r="G17" s="4" t="str">
        <f t="shared" si="0"/>
        <v/>
      </c>
    </row>
    <row r="18" spans="1:7" ht="53.5" customHeight="1" x14ac:dyDescent="0.6">
      <c r="A18" s="56">
        <f>Команды!A19</f>
        <v>0</v>
      </c>
      <c r="B18" s="6"/>
      <c r="C18" s="6"/>
      <c r="D18" s="6"/>
      <c r="E18" s="6"/>
      <c r="F18" s="6"/>
      <c r="G18" s="4" t="str">
        <f t="shared" si="0"/>
        <v/>
      </c>
    </row>
    <row r="19" spans="1:7" ht="53.5" customHeight="1" x14ac:dyDescent="0.6">
      <c r="A19" s="56">
        <f>Команды!A20</f>
        <v>0</v>
      </c>
      <c r="B19" s="6"/>
      <c r="C19" s="6"/>
      <c r="D19" s="6"/>
      <c r="E19" s="6"/>
      <c r="F19" s="6"/>
      <c r="G19" s="4" t="str">
        <f t="shared" ref="G19:G23" si="1">IF(ISNUMBER(B19),SUM(B19:F19),"")</f>
        <v/>
      </c>
    </row>
    <row r="20" spans="1:7" ht="53.5" customHeight="1" x14ac:dyDescent="0.6">
      <c r="A20" s="56">
        <f>Команды!A21</f>
        <v>0</v>
      </c>
      <c r="B20" s="6"/>
      <c r="C20" s="6"/>
      <c r="D20" s="6"/>
      <c r="E20" s="6"/>
      <c r="F20" s="6"/>
      <c r="G20" s="4" t="str">
        <f t="shared" si="1"/>
        <v/>
      </c>
    </row>
    <row r="21" spans="1:7" ht="53.5" customHeight="1" x14ac:dyDescent="0.6">
      <c r="A21" s="56">
        <f>Команды!A22</f>
        <v>0</v>
      </c>
      <c r="B21" s="6"/>
      <c r="C21" s="6"/>
      <c r="D21" s="6"/>
      <c r="E21" s="6"/>
      <c r="F21" s="6"/>
      <c r="G21" s="4" t="str">
        <f t="shared" si="1"/>
        <v/>
      </c>
    </row>
    <row r="22" spans="1:7" ht="53.5" customHeight="1" x14ac:dyDescent="0.6">
      <c r="A22" s="56">
        <f>Команды!A23</f>
        <v>0</v>
      </c>
      <c r="B22" s="6"/>
      <c r="C22" s="6"/>
      <c r="D22" s="6"/>
      <c r="E22" s="6"/>
      <c r="F22" s="6"/>
      <c r="G22" s="4" t="str">
        <f t="shared" si="1"/>
        <v/>
      </c>
    </row>
    <row r="23" spans="1:7" ht="53.5" customHeight="1" x14ac:dyDescent="0.6">
      <c r="A23" s="56">
        <f>Команды!A24</f>
        <v>0</v>
      </c>
      <c r="B23" s="6"/>
      <c r="C23" s="6"/>
      <c r="D23" s="6"/>
      <c r="E23" s="6"/>
      <c r="F23" s="6"/>
      <c r="G23" s="4" t="str">
        <f t="shared" si="1"/>
        <v/>
      </c>
    </row>
  </sheetData>
  <conditionalFormatting sqref="G3:G23">
    <cfRule type="top10" dxfId="61" priority="1" rank="1"/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C48"/>
  <sheetViews>
    <sheetView showGridLines="0" zoomScale="54" zoomScaleNormal="54" workbookViewId="0">
      <selection activeCell="F11" sqref="F11"/>
    </sheetView>
  </sheetViews>
  <sheetFormatPr baseColWidth="10" defaultColWidth="8.83203125" defaultRowHeight="34" outlineLevelCol="1" x14ac:dyDescent="0.4"/>
  <cols>
    <col min="1" max="1" width="100" customWidth="1"/>
    <col min="2" max="2" width="36.6640625" customWidth="1"/>
    <col min="3" max="9" width="28.5" customWidth="1"/>
    <col min="10" max="10" width="51.33203125" customWidth="1"/>
    <col min="11" max="15" width="9.1640625" style="34"/>
    <col min="16" max="16" width="9.1640625" style="36"/>
    <col min="17" max="17" width="12.6640625" style="36" hidden="1" customWidth="1" outlineLevel="1"/>
    <col min="18" max="18" width="19.5" style="36" hidden="1" customWidth="1" outlineLevel="1"/>
    <col min="19" max="19" width="16.6640625" style="36" hidden="1" customWidth="1" outlineLevel="1"/>
    <col min="20" max="20" width="17.33203125" style="34" hidden="1" customWidth="1" outlineLevel="1"/>
    <col min="21" max="21" width="9.1640625" style="34" hidden="1" customWidth="1" outlineLevel="1"/>
    <col min="22" max="22" width="9.1640625" style="34" collapsed="1"/>
    <col min="23" max="29" width="9.1640625" style="34"/>
  </cols>
  <sheetData>
    <row r="1" spans="1:21" ht="47" x14ac:dyDescent="0.55000000000000004">
      <c r="A1" s="13" t="s">
        <v>10</v>
      </c>
      <c r="B1" s="2" t="s">
        <v>11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9</v>
      </c>
      <c r="J1" s="2" t="s">
        <v>6</v>
      </c>
      <c r="Q1" s="36" t="s">
        <v>20</v>
      </c>
      <c r="R1" s="36" t="s">
        <v>21</v>
      </c>
      <c r="S1" s="36" t="s">
        <v>22</v>
      </c>
      <c r="T1" s="36" t="s">
        <v>23</v>
      </c>
      <c r="U1" s="36" t="s">
        <v>24</v>
      </c>
    </row>
    <row r="2" spans="1:21" ht="55.25" customHeight="1" x14ac:dyDescent="0.6">
      <c r="A2" s="55" t="str">
        <f>Команды!A4</f>
        <v>Однажды было дважды</v>
      </c>
      <c r="B2" s="4">
        <v>5</v>
      </c>
      <c r="C2" s="3">
        <v>0</v>
      </c>
      <c r="D2" s="3">
        <v>1</v>
      </c>
      <c r="E2" s="3">
        <v>1</v>
      </c>
      <c r="F2" s="3">
        <v>1</v>
      </c>
      <c r="G2" s="3">
        <v>1</v>
      </c>
      <c r="H2" s="3">
        <v>0</v>
      </c>
      <c r="I2" s="3">
        <v>1</v>
      </c>
      <c r="J2" s="4">
        <f t="shared" ref="J2:J17" si="0">IF(B2&gt;0,SUM(C2:I2),TEXT("",1))</f>
        <v>5</v>
      </c>
      <c r="O2" s="37"/>
      <c r="P2" s="38"/>
      <c r="Q2" s="38">
        <f>IF(AND(B2=4,J2&gt;=4),500,IF(AND(B2=5,J2&gt;=5),1000,IF(AND(B2=6,J2&gt;=6),2000,IF(AND(B2=7,J2&gt;=7),4000,IF(AND(B2&gt;J2),0,IF(AND(B2=0),0))))))</f>
        <v>1000</v>
      </c>
      <c r="R2" s="38">
        <f>J2*100</f>
        <v>500</v>
      </c>
      <c r="S2" s="38">
        <f>IF(AND(B2&gt;J2),(B2-J2)*250,IF(AND(B2&lt;=J2),0))</f>
        <v>0</v>
      </c>
      <c r="T2" s="38">
        <f>IF(B2&gt;0,SUM(Q2:R2,-S2),"")</f>
        <v>1500</v>
      </c>
      <c r="U2" s="38">
        <f>SUM(J2,COUNTBLANK(C2:I2))</f>
        <v>5</v>
      </c>
    </row>
    <row r="3" spans="1:21" ht="55.25" customHeight="1" x14ac:dyDescent="0.6">
      <c r="A3" s="55" t="str">
        <f>Команды!A5</f>
        <v>Тихая дружба с овощем</v>
      </c>
      <c r="B3" s="4">
        <v>5</v>
      </c>
      <c r="C3" s="3">
        <v>0</v>
      </c>
      <c r="D3" s="3">
        <v>1</v>
      </c>
      <c r="E3" s="3">
        <v>0</v>
      </c>
      <c r="F3" s="3">
        <v>1</v>
      </c>
      <c r="G3" s="3">
        <v>1</v>
      </c>
      <c r="H3" s="3">
        <v>0</v>
      </c>
      <c r="I3" s="3">
        <v>1</v>
      </c>
      <c r="J3" s="4">
        <f t="shared" si="0"/>
        <v>4</v>
      </c>
      <c r="O3" s="37"/>
      <c r="P3" s="38"/>
      <c r="Q3" s="38">
        <f t="shared" ref="Q3:Q10" si="1">IF(AND(B3=4,J3&gt;=4),500,IF(AND(B3=5,J3&gt;=5),1000,IF(AND(B3=6,J3&gt;=6),2000,IF(AND(B3=7,J3&gt;=7),4000,IF(AND(B3&gt;J3),0,IF(AND(B3=0),0))))))</f>
        <v>0</v>
      </c>
      <c r="R3" s="38">
        <f t="shared" ref="R3:R10" si="2">J3*100</f>
        <v>400</v>
      </c>
      <c r="S3" s="38">
        <f t="shared" ref="S3:S10" si="3">IF(AND(B3&gt;J3),(B3-J3)*250,IF(AND(B3&lt;=J3),0))</f>
        <v>250</v>
      </c>
      <c r="T3" s="38">
        <f t="shared" ref="T3:T23" si="4">IF(B3&gt;0,SUM(Q3:R3,-S3),"")</f>
        <v>150</v>
      </c>
      <c r="U3" s="38">
        <f t="shared" ref="U3:U23" si="5">SUM(J3,COUNTBLANK(C3:I3))</f>
        <v>4</v>
      </c>
    </row>
    <row r="4" spans="1:21" ht="55.25" customHeight="1" x14ac:dyDescent="0.6">
      <c r="A4" s="55" t="str">
        <f>Команды!A6</f>
        <v>Суровая реальность</v>
      </c>
      <c r="B4" s="4">
        <v>4</v>
      </c>
      <c r="C4" s="3">
        <v>0</v>
      </c>
      <c r="D4" s="3">
        <v>0</v>
      </c>
      <c r="E4" s="3">
        <v>1</v>
      </c>
      <c r="F4" s="3">
        <v>1</v>
      </c>
      <c r="G4" s="3">
        <v>1</v>
      </c>
      <c r="H4" s="3">
        <v>0</v>
      </c>
      <c r="I4" s="3">
        <v>0</v>
      </c>
      <c r="J4" s="4">
        <f t="shared" si="0"/>
        <v>3</v>
      </c>
      <c r="O4" s="37"/>
      <c r="P4" s="38"/>
      <c r="Q4" s="38">
        <f t="shared" si="1"/>
        <v>0</v>
      </c>
      <c r="R4" s="38">
        <f t="shared" si="2"/>
        <v>300</v>
      </c>
      <c r="S4" s="38">
        <f t="shared" si="3"/>
        <v>250</v>
      </c>
      <c r="T4" s="38">
        <f t="shared" si="4"/>
        <v>50</v>
      </c>
      <c r="U4" s="38">
        <f t="shared" si="5"/>
        <v>3</v>
      </c>
    </row>
    <row r="5" spans="1:21" ht="55.25" customHeight="1" x14ac:dyDescent="0.6">
      <c r="A5" s="55" t="str">
        <f>Команды!A7</f>
        <v>А меня не прет</v>
      </c>
      <c r="B5" s="4">
        <v>4</v>
      </c>
      <c r="C5" s="3">
        <v>0</v>
      </c>
      <c r="D5" s="3">
        <v>0</v>
      </c>
      <c r="E5" s="3">
        <v>0</v>
      </c>
      <c r="F5" s="3">
        <v>1</v>
      </c>
      <c r="G5" s="3">
        <v>0</v>
      </c>
      <c r="H5" s="3">
        <v>0</v>
      </c>
      <c r="I5" s="3">
        <v>1</v>
      </c>
      <c r="J5" s="4">
        <f t="shared" si="0"/>
        <v>2</v>
      </c>
      <c r="O5" s="37"/>
      <c r="P5" s="38"/>
      <c r="Q5" s="38">
        <f t="shared" si="1"/>
        <v>0</v>
      </c>
      <c r="R5" s="38">
        <f t="shared" si="2"/>
        <v>200</v>
      </c>
      <c r="S5" s="38">
        <f t="shared" si="3"/>
        <v>500</v>
      </c>
      <c r="T5" s="38">
        <f t="shared" si="4"/>
        <v>-300</v>
      </c>
      <c r="U5" s="38">
        <f t="shared" si="5"/>
        <v>2</v>
      </c>
    </row>
    <row r="6" spans="1:21" ht="55.25" customHeight="1" x14ac:dyDescent="0.6">
      <c r="A6" s="55" t="str">
        <f>Команды!A8</f>
        <v>Остров предположений</v>
      </c>
      <c r="B6" s="4">
        <v>4</v>
      </c>
      <c r="C6" s="3">
        <v>0</v>
      </c>
      <c r="D6" s="3">
        <v>1</v>
      </c>
      <c r="E6" s="3">
        <v>1</v>
      </c>
      <c r="F6" s="3">
        <v>1</v>
      </c>
      <c r="G6" s="3">
        <v>0</v>
      </c>
      <c r="H6" s="3">
        <v>0</v>
      </c>
      <c r="I6" s="3">
        <v>0</v>
      </c>
      <c r="J6" s="4">
        <f t="shared" si="0"/>
        <v>3</v>
      </c>
      <c r="O6" s="37"/>
      <c r="P6" s="38"/>
      <c r="Q6" s="38">
        <f t="shared" si="1"/>
        <v>0</v>
      </c>
      <c r="R6" s="38">
        <f t="shared" si="2"/>
        <v>300</v>
      </c>
      <c r="S6" s="38">
        <f t="shared" si="3"/>
        <v>250</v>
      </c>
      <c r="T6" s="38">
        <f t="shared" si="4"/>
        <v>50</v>
      </c>
      <c r="U6" s="38">
        <f t="shared" si="5"/>
        <v>3</v>
      </c>
    </row>
    <row r="7" spans="1:21" ht="55.25" customHeight="1" x14ac:dyDescent="0.6">
      <c r="A7" s="55" t="str">
        <f>Команды!A9</f>
        <v>Кроме шуток</v>
      </c>
      <c r="B7" s="4">
        <v>4</v>
      </c>
      <c r="C7" s="3">
        <v>0</v>
      </c>
      <c r="D7" s="3">
        <v>1</v>
      </c>
      <c r="E7" s="3">
        <v>1</v>
      </c>
      <c r="F7" s="3">
        <v>1</v>
      </c>
      <c r="G7" s="3">
        <v>0</v>
      </c>
      <c r="H7" s="3">
        <v>1</v>
      </c>
      <c r="I7" s="3">
        <v>1</v>
      </c>
      <c r="J7" s="4">
        <f t="shared" si="0"/>
        <v>5</v>
      </c>
      <c r="O7" s="37"/>
      <c r="P7" s="38"/>
      <c r="Q7" s="38">
        <f t="shared" si="1"/>
        <v>500</v>
      </c>
      <c r="R7" s="38">
        <f t="shared" si="2"/>
        <v>500</v>
      </c>
      <c r="S7" s="38">
        <f t="shared" si="3"/>
        <v>0</v>
      </c>
      <c r="T7" s="38">
        <f t="shared" si="4"/>
        <v>1000</v>
      </c>
      <c r="U7" s="38">
        <f t="shared" si="5"/>
        <v>5</v>
      </c>
    </row>
    <row r="8" spans="1:21" ht="55.25" customHeight="1" x14ac:dyDescent="0.6">
      <c r="A8" s="55" t="str">
        <f>Команды!A10</f>
        <v>Час пробил</v>
      </c>
      <c r="B8" s="4">
        <v>4</v>
      </c>
      <c r="C8" s="3">
        <v>0</v>
      </c>
      <c r="D8" s="3">
        <v>1</v>
      </c>
      <c r="E8" s="3">
        <v>0</v>
      </c>
      <c r="F8" s="3">
        <v>1</v>
      </c>
      <c r="G8" s="3">
        <v>0</v>
      </c>
      <c r="H8" s="3">
        <v>0</v>
      </c>
      <c r="I8" s="3">
        <v>0</v>
      </c>
      <c r="J8" s="4">
        <f t="shared" si="0"/>
        <v>2</v>
      </c>
      <c r="O8" s="37"/>
      <c r="P8" s="38"/>
      <c r="Q8" s="38">
        <f t="shared" si="1"/>
        <v>0</v>
      </c>
      <c r="R8" s="38">
        <f t="shared" si="2"/>
        <v>200</v>
      </c>
      <c r="S8" s="38">
        <f t="shared" si="3"/>
        <v>500</v>
      </c>
      <c r="T8" s="38">
        <f t="shared" si="4"/>
        <v>-300</v>
      </c>
      <c r="U8" s="38">
        <f t="shared" si="5"/>
        <v>2</v>
      </c>
    </row>
    <row r="9" spans="1:21" ht="55.25" customHeight="1" x14ac:dyDescent="0.6">
      <c r="A9" s="55" t="str">
        <f>Команды!A11</f>
        <v>Вучичи</v>
      </c>
      <c r="B9" s="4">
        <v>4</v>
      </c>
      <c r="C9" s="3">
        <v>0</v>
      </c>
      <c r="D9" s="3">
        <v>0</v>
      </c>
      <c r="E9" s="3">
        <v>1</v>
      </c>
      <c r="F9" s="3">
        <v>0</v>
      </c>
      <c r="G9" s="3">
        <v>0</v>
      </c>
      <c r="H9" s="3">
        <v>0</v>
      </c>
      <c r="I9" s="3">
        <v>1</v>
      </c>
      <c r="J9" s="4">
        <f t="shared" si="0"/>
        <v>2</v>
      </c>
      <c r="O9" s="37"/>
      <c r="P9" s="38"/>
      <c r="Q9" s="38">
        <f t="shared" si="1"/>
        <v>0</v>
      </c>
      <c r="R9" s="38">
        <f t="shared" si="2"/>
        <v>200</v>
      </c>
      <c r="S9" s="38">
        <f t="shared" si="3"/>
        <v>500</v>
      </c>
      <c r="T9" s="38">
        <f t="shared" si="4"/>
        <v>-300</v>
      </c>
      <c r="U9" s="38">
        <f t="shared" si="5"/>
        <v>2</v>
      </c>
    </row>
    <row r="10" spans="1:21" ht="55.25" customHeight="1" x14ac:dyDescent="0.6">
      <c r="A10" s="55">
        <f>Команды!A12</f>
        <v>0</v>
      </c>
      <c r="B10" s="4">
        <v>0</v>
      </c>
      <c r="C10" s="3"/>
      <c r="D10" s="3"/>
      <c r="E10" s="3"/>
      <c r="F10" s="3"/>
      <c r="G10" s="3"/>
      <c r="H10" s="3"/>
      <c r="I10" s="3"/>
      <c r="J10" s="4" t="str">
        <f t="shared" si="0"/>
        <v/>
      </c>
      <c r="O10" s="37"/>
      <c r="P10" s="38"/>
      <c r="Q10" s="38">
        <f t="shared" si="1"/>
        <v>0</v>
      </c>
      <c r="R10" s="38" t="e">
        <f t="shared" si="2"/>
        <v>#VALUE!</v>
      </c>
      <c r="S10" s="38">
        <f t="shared" si="3"/>
        <v>0</v>
      </c>
      <c r="T10" s="38" t="str">
        <f t="shared" si="4"/>
        <v/>
      </c>
      <c r="U10" s="38">
        <f t="shared" si="5"/>
        <v>7</v>
      </c>
    </row>
    <row r="11" spans="1:21" ht="55.25" customHeight="1" x14ac:dyDescent="0.6">
      <c r="A11" s="55">
        <f>Команды!A13</f>
        <v>0</v>
      </c>
      <c r="B11" s="4">
        <v>0</v>
      </c>
      <c r="C11" s="3"/>
      <c r="D11" s="3"/>
      <c r="E11" s="3"/>
      <c r="F11" s="3"/>
      <c r="G11" s="3"/>
      <c r="H11" s="3"/>
      <c r="I11" s="3"/>
      <c r="J11" s="4" t="str">
        <f t="shared" si="0"/>
        <v/>
      </c>
      <c r="O11" s="37"/>
      <c r="P11" s="38"/>
      <c r="Q11" s="38">
        <f>IF(AND(B11=4,J11&gt;=4),500,IF(AND(B11=5,J11&gt;=5),1000,IF(AND(B11=6,J11&gt;=6),2000,IF(AND(B11=7,J11&gt;=7),4000,IF(AND(B11&gt;J11),0,IF(AND(B11=0),0))))))</f>
        <v>0</v>
      </c>
      <c r="R11" s="38" t="e">
        <f>J11*100</f>
        <v>#VALUE!</v>
      </c>
      <c r="S11" s="38">
        <f>IF(AND(B11&gt;J11),(B11-J11)*250,IF(AND(B11&lt;=J11),0))</f>
        <v>0</v>
      </c>
      <c r="T11" s="38" t="str">
        <f t="shared" si="4"/>
        <v/>
      </c>
      <c r="U11" s="38">
        <f t="shared" si="5"/>
        <v>7</v>
      </c>
    </row>
    <row r="12" spans="1:21" ht="55.25" customHeight="1" x14ac:dyDescent="0.6">
      <c r="A12" s="55">
        <f>Команды!A14</f>
        <v>0</v>
      </c>
      <c r="B12" s="4">
        <v>0</v>
      </c>
      <c r="C12" s="3"/>
      <c r="D12" s="3"/>
      <c r="E12" s="3"/>
      <c r="F12" s="3"/>
      <c r="G12" s="3"/>
      <c r="H12" s="3"/>
      <c r="I12" s="3"/>
      <c r="J12" s="4" t="str">
        <f t="shared" si="0"/>
        <v/>
      </c>
      <c r="O12" s="37"/>
      <c r="P12" s="38"/>
      <c r="Q12" s="38">
        <f>IF(AND(B12=4,J12&gt;=4),500,IF(AND(B12=5,J12&gt;=5),1000,IF(AND(B12=6,J12&gt;=6),2000,IF(AND(B12=7,J12&gt;=7),4000,IF(AND(B12&gt;J12),0,IF(AND(B12=0),0))))))</f>
        <v>0</v>
      </c>
      <c r="R12" s="38" t="e">
        <f>J12*100</f>
        <v>#VALUE!</v>
      </c>
      <c r="S12" s="38">
        <f>IF(AND(B12&gt;J12),(B12-J12)*250,IF(AND(B12&lt;=J12),0))</f>
        <v>0</v>
      </c>
      <c r="T12" s="38" t="str">
        <f t="shared" si="4"/>
        <v/>
      </c>
      <c r="U12" s="38">
        <f t="shared" si="5"/>
        <v>7</v>
      </c>
    </row>
    <row r="13" spans="1:21" ht="55.25" customHeight="1" x14ac:dyDescent="0.6">
      <c r="A13" s="55">
        <f>Команды!A15</f>
        <v>0</v>
      </c>
      <c r="B13" s="4">
        <v>0</v>
      </c>
      <c r="C13" s="3"/>
      <c r="D13" s="3"/>
      <c r="E13" s="3"/>
      <c r="F13" s="3"/>
      <c r="G13" s="3"/>
      <c r="H13" s="3"/>
      <c r="I13" s="3"/>
      <c r="J13" s="4" t="str">
        <f t="shared" si="0"/>
        <v/>
      </c>
      <c r="O13" s="37"/>
      <c r="P13" s="38"/>
      <c r="Q13" s="38">
        <f>IF(AND(B13=4,J13&gt;=4),500,IF(AND(B13=5,J13&gt;=5),1000,IF(AND(B13=6,J13&gt;=6),2000,IF(AND(B13=7,J13&gt;=7),4000,IF(AND(B13&gt;J13),0,IF(AND(B13=0),0))))))</f>
        <v>0</v>
      </c>
      <c r="R13" s="38" t="e">
        <f>J13*100</f>
        <v>#VALUE!</v>
      </c>
      <c r="S13" s="38">
        <f>IF(AND(B13&gt;J13),(B13-J13)*250,IF(AND(B13&lt;=J13),0))</f>
        <v>0</v>
      </c>
      <c r="T13" s="38" t="str">
        <f t="shared" si="4"/>
        <v/>
      </c>
      <c r="U13" s="38">
        <f t="shared" si="5"/>
        <v>7</v>
      </c>
    </row>
    <row r="14" spans="1:21" ht="55.25" customHeight="1" x14ac:dyDescent="0.6">
      <c r="A14" s="55">
        <f>Команды!A16</f>
        <v>0</v>
      </c>
      <c r="B14" s="4">
        <v>0</v>
      </c>
      <c r="C14" s="3"/>
      <c r="D14" s="3"/>
      <c r="E14" s="3"/>
      <c r="F14" s="3"/>
      <c r="G14" s="3"/>
      <c r="H14" s="3"/>
      <c r="I14" s="3"/>
      <c r="J14" s="4" t="str">
        <f t="shared" si="0"/>
        <v/>
      </c>
      <c r="O14" s="37"/>
      <c r="P14" s="38"/>
      <c r="Q14" s="38">
        <f>IF(AND(B14=4,J14&gt;=4),500,IF(AND(B14=5,J14&gt;=5),1000,IF(AND(B14=6,J14&gt;=6),2000,IF(AND(B14=7,J14&gt;=7),4000,IF(AND(B14&gt;J14),0,IF(AND(B14=0),0))))))</f>
        <v>0</v>
      </c>
      <c r="R14" s="38" t="e">
        <f>J14*100</f>
        <v>#VALUE!</v>
      </c>
      <c r="S14" s="38">
        <f>IF(AND(B14&gt;J14),(B14-J14)*250,IF(AND(B14&lt;=J14),0))</f>
        <v>0</v>
      </c>
      <c r="T14" s="38" t="str">
        <f t="shared" si="4"/>
        <v/>
      </c>
      <c r="U14" s="38">
        <f t="shared" si="5"/>
        <v>7</v>
      </c>
    </row>
    <row r="15" spans="1:21" ht="55.25" customHeight="1" x14ac:dyDescent="0.6">
      <c r="A15" s="55">
        <f>Команды!A17</f>
        <v>0</v>
      </c>
      <c r="B15" s="4">
        <v>0</v>
      </c>
      <c r="C15" s="3"/>
      <c r="D15" s="3"/>
      <c r="E15" s="3"/>
      <c r="F15" s="3"/>
      <c r="G15" s="3"/>
      <c r="H15" s="3"/>
      <c r="I15" s="3"/>
      <c r="J15" s="4" t="str">
        <f t="shared" si="0"/>
        <v/>
      </c>
      <c r="O15" s="37"/>
      <c r="P15" s="38"/>
      <c r="Q15" s="38">
        <f>IF(AND(B15=4,J15&gt;=4),500,IF(AND(B15=5,J15&gt;=5),1000,IF(AND(B15=6,J15&gt;=6),2000,IF(AND(B15=7,J15&gt;=7),4000,IF(AND(B15&gt;J15),0,IF(AND(B15=0),0))))))</f>
        <v>0</v>
      </c>
      <c r="R15" s="38" t="e">
        <f>J15*100</f>
        <v>#VALUE!</v>
      </c>
      <c r="S15" s="38">
        <f>IF(AND(B15&gt;J15),(B15-J15)*250,IF(AND(B15&lt;=J15),0))</f>
        <v>0</v>
      </c>
      <c r="T15" s="38" t="str">
        <f t="shared" si="4"/>
        <v/>
      </c>
      <c r="U15" s="38">
        <f t="shared" si="5"/>
        <v>7</v>
      </c>
    </row>
    <row r="16" spans="1:21" ht="55.25" customHeight="1" x14ac:dyDescent="0.6">
      <c r="A16" s="55">
        <f>Команды!A18</f>
        <v>0</v>
      </c>
      <c r="B16" s="4">
        <v>0</v>
      </c>
      <c r="C16" s="3"/>
      <c r="D16" s="3"/>
      <c r="E16" s="3"/>
      <c r="F16" s="3"/>
      <c r="G16" s="3"/>
      <c r="H16" s="3"/>
      <c r="I16" s="3"/>
      <c r="J16" s="4" t="str">
        <f t="shared" si="0"/>
        <v/>
      </c>
      <c r="O16" s="37"/>
      <c r="P16" s="38"/>
      <c r="Q16" s="38">
        <f t="shared" ref="Q16:Q23" si="6">IF(AND(B16=4,J16&gt;=4),500,IF(AND(B16=5,J16&gt;=5),1000,IF(AND(B16=6,J16&gt;=6),2000,IF(AND(B16=7,J16&gt;=7),4000,IF(AND(B16&gt;J16),0,IF(AND(B16=0),0))))))</f>
        <v>0</v>
      </c>
      <c r="R16" s="38" t="e">
        <f t="shared" ref="R16:R23" si="7">J16*100</f>
        <v>#VALUE!</v>
      </c>
      <c r="S16" s="38">
        <f t="shared" ref="S16:S23" si="8">IF(AND(B16&gt;J16),(B16-J16)*250,IF(AND(B16&lt;=J16),0))</f>
        <v>0</v>
      </c>
      <c r="T16" s="38" t="str">
        <f t="shared" si="4"/>
        <v/>
      </c>
      <c r="U16" s="38">
        <f t="shared" si="5"/>
        <v>7</v>
      </c>
    </row>
    <row r="17" spans="1:21" ht="55.25" customHeight="1" x14ac:dyDescent="0.6">
      <c r="A17" s="55">
        <f>Команды!A19</f>
        <v>0</v>
      </c>
      <c r="B17" s="4">
        <v>0</v>
      </c>
      <c r="C17" s="3"/>
      <c r="D17" s="3"/>
      <c r="E17" s="3"/>
      <c r="F17" s="3"/>
      <c r="G17" s="3"/>
      <c r="H17" s="3"/>
      <c r="I17" s="3"/>
      <c r="J17" s="4" t="str">
        <f t="shared" si="0"/>
        <v/>
      </c>
      <c r="O17" s="37"/>
      <c r="P17" s="38"/>
      <c r="Q17" s="38">
        <f t="shared" si="6"/>
        <v>0</v>
      </c>
      <c r="R17" s="38" t="e">
        <f t="shared" si="7"/>
        <v>#VALUE!</v>
      </c>
      <c r="S17" s="38">
        <f t="shared" si="8"/>
        <v>0</v>
      </c>
      <c r="T17" s="38" t="str">
        <f t="shared" si="4"/>
        <v/>
      </c>
      <c r="U17" s="38">
        <f t="shared" si="5"/>
        <v>7</v>
      </c>
    </row>
    <row r="18" spans="1:21" ht="54" customHeight="1" x14ac:dyDescent="0.6">
      <c r="A18" s="55">
        <f>Команды!A20</f>
        <v>0</v>
      </c>
      <c r="B18" s="4">
        <v>0</v>
      </c>
      <c r="C18" s="3"/>
      <c r="D18" s="3"/>
      <c r="E18" s="3"/>
      <c r="F18" s="3"/>
      <c r="G18" s="3"/>
      <c r="H18" s="3"/>
      <c r="I18" s="3"/>
      <c r="J18" s="4" t="str">
        <f t="shared" ref="J18:J26" si="9">IF(B18&gt;0,SUM(C18:I18),TEXT("",1))</f>
        <v/>
      </c>
      <c r="O18" s="37"/>
      <c r="P18" s="38"/>
      <c r="Q18" s="38">
        <f t="shared" si="6"/>
        <v>0</v>
      </c>
      <c r="R18" s="38" t="e">
        <f t="shared" si="7"/>
        <v>#VALUE!</v>
      </c>
      <c r="S18" s="38">
        <f t="shared" si="8"/>
        <v>0</v>
      </c>
      <c r="T18" s="38" t="str">
        <f t="shared" si="4"/>
        <v/>
      </c>
      <c r="U18" s="38">
        <f t="shared" si="5"/>
        <v>7</v>
      </c>
    </row>
    <row r="19" spans="1:21" ht="54" customHeight="1" x14ac:dyDescent="0.6">
      <c r="A19" s="55">
        <f>Команды!A21</f>
        <v>0</v>
      </c>
      <c r="B19" s="4">
        <v>0</v>
      </c>
      <c r="C19" s="3"/>
      <c r="D19" s="3"/>
      <c r="E19" s="3"/>
      <c r="F19" s="3"/>
      <c r="G19" s="3"/>
      <c r="H19" s="3"/>
      <c r="I19" s="3"/>
      <c r="J19" s="4" t="str">
        <f t="shared" si="9"/>
        <v/>
      </c>
      <c r="O19" s="37"/>
      <c r="P19" s="38"/>
      <c r="Q19" s="38">
        <f t="shared" si="6"/>
        <v>0</v>
      </c>
      <c r="R19" s="38" t="e">
        <f t="shared" si="7"/>
        <v>#VALUE!</v>
      </c>
      <c r="S19" s="38">
        <f t="shared" si="8"/>
        <v>0</v>
      </c>
      <c r="T19" s="38" t="str">
        <f t="shared" si="4"/>
        <v/>
      </c>
      <c r="U19" s="38">
        <f t="shared" si="5"/>
        <v>7</v>
      </c>
    </row>
    <row r="20" spans="1:21" ht="54" customHeight="1" x14ac:dyDescent="0.6">
      <c r="A20" s="55">
        <f>Команды!A22</f>
        <v>0</v>
      </c>
      <c r="B20" s="4">
        <v>0</v>
      </c>
      <c r="C20" s="3"/>
      <c r="D20" s="3"/>
      <c r="E20" s="3"/>
      <c r="F20" s="3"/>
      <c r="G20" s="3"/>
      <c r="H20" s="3"/>
      <c r="I20" s="3"/>
      <c r="J20" s="4" t="str">
        <f t="shared" si="9"/>
        <v/>
      </c>
      <c r="O20" s="37"/>
      <c r="P20" s="38"/>
      <c r="Q20" s="38">
        <f t="shared" si="6"/>
        <v>0</v>
      </c>
      <c r="R20" s="38" t="e">
        <f t="shared" si="7"/>
        <v>#VALUE!</v>
      </c>
      <c r="S20" s="38">
        <f t="shared" si="8"/>
        <v>0</v>
      </c>
      <c r="T20" s="38" t="str">
        <f t="shared" si="4"/>
        <v/>
      </c>
      <c r="U20" s="38">
        <f t="shared" si="5"/>
        <v>7</v>
      </c>
    </row>
    <row r="21" spans="1:21" ht="54" customHeight="1" x14ac:dyDescent="0.6">
      <c r="A21" s="55">
        <f>Команды!A23</f>
        <v>0</v>
      </c>
      <c r="B21" s="4">
        <v>0</v>
      </c>
      <c r="C21" s="3"/>
      <c r="D21" s="3"/>
      <c r="E21" s="3"/>
      <c r="F21" s="3"/>
      <c r="G21" s="3"/>
      <c r="H21" s="3"/>
      <c r="I21" s="3"/>
      <c r="J21" s="4" t="str">
        <f t="shared" si="9"/>
        <v/>
      </c>
      <c r="O21" s="37"/>
      <c r="P21" s="38"/>
      <c r="Q21" s="38">
        <f t="shared" si="6"/>
        <v>0</v>
      </c>
      <c r="R21" s="38" t="e">
        <f t="shared" si="7"/>
        <v>#VALUE!</v>
      </c>
      <c r="S21" s="38">
        <f t="shared" si="8"/>
        <v>0</v>
      </c>
      <c r="T21" s="38" t="str">
        <f t="shared" si="4"/>
        <v/>
      </c>
      <c r="U21" s="38">
        <f t="shared" si="5"/>
        <v>7</v>
      </c>
    </row>
    <row r="22" spans="1:21" ht="54" customHeight="1" x14ac:dyDescent="0.6">
      <c r="A22" s="55">
        <f>Команды!A24</f>
        <v>0</v>
      </c>
      <c r="B22" s="4">
        <v>0</v>
      </c>
      <c r="C22" s="3"/>
      <c r="D22" s="3"/>
      <c r="E22" s="3"/>
      <c r="F22" s="3"/>
      <c r="G22" s="3"/>
      <c r="H22" s="3"/>
      <c r="I22" s="3"/>
      <c r="J22" s="4" t="str">
        <f t="shared" si="9"/>
        <v/>
      </c>
      <c r="O22" s="37"/>
      <c r="P22" s="38"/>
      <c r="Q22" s="38">
        <f t="shared" si="6"/>
        <v>0</v>
      </c>
      <c r="R22" s="38" t="e">
        <f t="shared" si="7"/>
        <v>#VALUE!</v>
      </c>
      <c r="S22" s="38">
        <f t="shared" si="8"/>
        <v>0</v>
      </c>
      <c r="T22" s="38" t="str">
        <f t="shared" si="4"/>
        <v/>
      </c>
      <c r="U22" s="38">
        <f t="shared" si="5"/>
        <v>7</v>
      </c>
    </row>
    <row r="23" spans="1:21" ht="54" customHeight="1" x14ac:dyDescent="0.6">
      <c r="A23" s="55">
        <f>Команды!A25</f>
        <v>0</v>
      </c>
      <c r="B23" s="4">
        <v>0</v>
      </c>
      <c r="C23" s="3"/>
      <c r="D23" s="3"/>
      <c r="E23" s="3"/>
      <c r="F23" s="3"/>
      <c r="G23" s="3"/>
      <c r="H23" s="3"/>
      <c r="I23" s="3"/>
      <c r="J23" s="4" t="str">
        <f t="shared" si="9"/>
        <v/>
      </c>
      <c r="O23" s="37"/>
      <c r="P23" s="38"/>
      <c r="Q23" s="38">
        <f t="shared" si="6"/>
        <v>0</v>
      </c>
      <c r="R23" s="38" t="e">
        <f t="shared" si="7"/>
        <v>#VALUE!</v>
      </c>
      <c r="S23" s="38">
        <f t="shared" si="8"/>
        <v>0</v>
      </c>
      <c r="T23" s="38" t="str">
        <f t="shared" si="4"/>
        <v/>
      </c>
      <c r="U23" s="38">
        <f t="shared" si="5"/>
        <v>7</v>
      </c>
    </row>
    <row r="24" spans="1:21" ht="54" customHeight="1" x14ac:dyDescent="0.6">
      <c r="A24" s="55">
        <f>Команды!A26</f>
        <v>0</v>
      </c>
      <c r="B24" s="4">
        <v>0</v>
      </c>
      <c r="C24" s="3"/>
      <c r="D24" s="3"/>
      <c r="E24" s="3"/>
      <c r="F24" s="3"/>
      <c r="G24" s="3"/>
      <c r="H24" s="3"/>
      <c r="I24" s="3"/>
      <c r="J24" s="4" t="str">
        <f t="shared" si="9"/>
        <v/>
      </c>
      <c r="O24" s="37"/>
      <c r="P24" s="38"/>
      <c r="Q24" s="38">
        <f t="shared" ref="Q24:Q26" si="10">IF(AND(B24=4,J24&gt;=4),500,IF(AND(B24=5,J24&gt;=5),1000,IF(AND(B24=6,J24&gt;=6),2000,IF(AND(B24=7,J24&gt;=7),4000,IF(AND(B24&gt;J24),0,IF(AND(B24=0),0))))))</f>
        <v>0</v>
      </c>
      <c r="R24" s="38" t="e">
        <f t="shared" ref="R24:R26" si="11">J24*100</f>
        <v>#VALUE!</v>
      </c>
      <c r="S24" s="38">
        <f t="shared" ref="S24:S26" si="12">IF(AND(B24&gt;J24),(B24-J24)*250,IF(AND(B24&lt;=J24),0))</f>
        <v>0</v>
      </c>
      <c r="T24" s="38" t="str">
        <f t="shared" ref="T24:T26" si="13">IF(B24&gt;0,SUM(Q24:R24,-S24),"")</f>
        <v/>
      </c>
      <c r="U24" s="38">
        <f t="shared" ref="U24:U26" si="14">SUM(J24,COUNTBLANK(C24:I24))</f>
        <v>7</v>
      </c>
    </row>
    <row r="25" spans="1:21" ht="54" customHeight="1" x14ac:dyDescent="0.6">
      <c r="A25" s="55">
        <f>Команды!A27</f>
        <v>0</v>
      </c>
      <c r="B25" s="4">
        <v>0</v>
      </c>
      <c r="C25" s="3"/>
      <c r="D25" s="3"/>
      <c r="E25" s="3"/>
      <c r="F25" s="3"/>
      <c r="G25" s="3"/>
      <c r="H25" s="3"/>
      <c r="I25" s="3"/>
      <c r="J25" s="4" t="str">
        <f t="shared" si="9"/>
        <v/>
      </c>
      <c r="O25" s="37"/>
      <c r="P25" s="38"/>
      <c r="Q25" s="38">
        <f t="shared" si="10"/>
        <v>0</v>
      </c>
      <c r="R25" s="38" t="e">
        <f t="shared" si="11"/>
        <v>#VALUE!</v>
      </c>
      <c r="S25" s="38">
        <f t="shared" si="12"/>
        <v>0</v>
      </c>
      <c r="T25" s="38" t="str">
        <f t="shared" si="13"/>
        <v/>
      </c>
      <c r="U25" s="38">
        <f t="shared" si="14"/>
        <v>7</v>
      </c>
    </row>
    <row r="26" spans="1:21" ht="54" customHeight="1" x14ac:dyDescent="0.6">
      <c r="A26" s="55">
        <f>Команды!A28</f>
        <v>0</v>
      </c>
      <c r="B26" s="4">
        <v>0</v>
      </c>
      <c r="C26" s="3"/>
      <c r="D26" s="3"/>
      <c r="E26" s="3"/>
      <c r="F26" s="3"/>
      <c r="G26" s="3"/>
      <c r="H26" s="3"/>
      <c r="I26" s="3"/>
      <c r="J26" s="4" t="str">
        <f t="shared" si="9"/>
        <v/>
      </c>
      <c r="O26" s="37"/>
      <c r="P26" s="38"/>
      <c r="Q26" s="38">
        <f t="shared" si="10"/>
        <v>0</v>
      </c>
      <c r="R26" s="38" t="e">
        <f t="shared" si="11"/>
        <v>#VALUE!</v>
      </c>
      <c r="S26" s="38">
        <f t="shared" si="12"/>
        <v>0</v>
      </c>
      <c r="T26" s="38" t="str">
        <f t="shared" si="13"/>
        <v/>
      </c>
      <c r="U26" s="38">
        <f t="shared" si="14"/>
        <v>7</v>
      </c>
    </row>
    <row r="48" spans="1:2" ht="62" x14ac:dyDescent="0.7">
      <c r="A48" s="43" t="s">
        <v>27</v>
      </c>
      <c r="B48" s="44">
        <v>4</v>
      </c>
    </row>
  </sheetData>
  <conditionalFormatting sqref="A2">
    <cfRule type="expression" dxfId="60" priority="7">
      <formula>B2&gt;U2</formula>
    </cfRule>
    <cfRule type="expression" dxfId="59" priority="11">
      <formula>AND(N(J2)&gt;=B2,N(J2)&gt;0)</formula>
    </cfRule>
  </conditionalFormatting>
  <conditionalFormatting sqref="A3:A26">
    <cfRule type="expression" dxfId="58" priority="1">
      <formula>B3&gt;U3</formula>
    </cfRule>
    <cfRule type="expression" dxfId="57" priority="2">
      <formula>AND(N(J3)&gt;=B3,N(J3)&gt;0)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22"/>
  <sheetViews>
    <sheetView showGridLines="0" zoomScale="57" zoomScaleNormal="57" workbookViewId="0">
      <selection activeCell="E6" sqref="E6"/>
    </sheetView>
  </sheetViews>
  <sheetFormatPr baseColWidth="10" defaultColWidth="8.83203125" defaultRowHeight="15" x14ac:dyDescent="0.2"/>
  <cols>
    <col min="1" max="1" width="91.33203125" customWidth="1"/>
    <col min="2" max="5" width="52.5" customWidth="1"/>
    <col min="6" max="6" width="64.5" style="22" customWidth="1"/>
  </cols>
  <sheetData>
    <row r="1" spans="1:6" ht="9" customHeight="1" x14ac:dyDescent="0.2"/>
    <row r="2" spans="1:6" ht="54" x14ac:dyDescent="0.6">
      <c r="A2" s="15" t="s">
        <v>8</v>
      </c>
      <c r="B2" s="1" t="s">
        <v>0</v>
      </c>
      <c r="C2" s="1" t="s">
        <v>1</v>
      </c>
      <c r="D2" s="1" t="s">
        <v>2</v>
      </c>
      <c r="E2" s="1" t="s">
        <v>3</v>
      </c>
      <c r="F2" s="1" t="s">
        <v>6</v>
      </c>
    </row>
    <row r="3" spans="1:6" ht="54" x14ac:dyDescent="0.6">
      <c r="A3" s="56" t="str">
        <f>Команды!A4</f>
        <v>Однажды было дважды</v>
      </c>
      <c r="B3" s="6">
        <v>200</v>
      </c>
      <c r="C3" s="6">
        <v>300</v>
      </c>
      <c r="D3" s="6">
        <v>100</v>
      </c>
      <c r="E3" s="6">
        <v>200</v>
      </c>
      <c r="F3" s="4">
        <f>IF(ISNUMBER(B3),SUM(B3:E3),"")</f>
        <v>800</v>
      </c>
    </row>
    <row r="4" spans="1:6" ht="54" x14ac:dyDescent="0.6">
      <c r="A4" s="56" t="str">
        <f>Команды!A5</f>
        <v>Тихая дружба с овощем</v>
      </c>
      <c r="B4" s="6">
        <v>300</v>
      </c>
      <c r="C4" s="6">
        <v>700</v>
      </c>
      <c r="D4" s="6">
        <v>300</v>
      </c>
      <c r="E4" s="6">
        <v>100</v>
      </c>
      <c r="F4" s="4">
        <f t="shared" ref="F4:F18" si="0">IF(ISNUMBER(B4),SUM(B4:E4),"")</f>
        <v>1400</v>
      </c>
    </row>
    <row r="5" spans="1:6" ht="54" x14ac:dyDescent="0.6">
      <c r="A5" s="56" t="str">
        <f>Команды!A6</f>
        <v>Суровая реальность</v>
      </c>
      <c r="B5" s="6">
        <v>200</v>
      </c>
      <c r="C5" s="6">
        <v>200</v>
      </c>
      <c r="D5" s="6">
        <v>700</v>
      </c>
      <c r="E5" s="6">
        <v>700</v>
      </c>
      <c r="F5" s="4">
        <f t="shared" si="0"/>
        <v>1800</v>
      </c>
    </row>
    <row r="6" spans="1:6" ht="54" x14ac:dyDescent="0.6">
      <c r="A6" s="56" t="str">
        <f>Команды!A7</f>
        <v>А меня не прет</v>
      </c>
      <c r="B6" s="6">
        <v>200</v>
      </c>
      <c r="C6" s="6">
        <v>0</v>
      </c>
      <c r="D6" s="6">
        <v>300</v>
      </c>
      <c r="E6" s="6">
        <v>200</v>
      </c>
      <c r="F6" s="4">
        <f t="shared" si="0"/>
        <v>700</v>
      </c>
    </row>
    <row r="7" spans="1:6" ht="54" x14ac:dyDescent="0.6">
      <c r="A7" s="56" t="str">
        <f>Команды!A8</f>
        <v>Остров предположений</v>
      </c>
      <c r="B7" s="6">
        <v>0</v>
      </c>
      <c r="C7" s="6">
        <v>-500</v>
      </c>
      <c r="D7" s="6">
        <v>300</v>
      </c>
      <c r="E7" s="6">
        <v>-200</v>
      </c>
      <c r="F7" s="4">
        <f t="shared" si="0"/>
        <v>-400</v>
      </c>
    </row>
    <row r="8" spans="1:6" ht="54" x14ac:dyDescent="0.6">
      <c r="A8" s="56" t="str">
        <f>Команды!A9</f>
        <v>Кроме шуток</v>
      </c>
      <c r="B8" s="6">
        <v>200</v>
      </c>
      <c r="C8" s="6">
        <v>700</v>
      </c>
      <c r="D8" s="6">
        <v>700</v>
      </c>
      <c r="E8" s="6">
        <v>300</v>
      </c>
      <c r="F8" s="4">
        <f t="shared" si="0"/>
        <v>1900</v>
      </c>
    </row>
    <row r="9" spans="1:6" ht="54" x14ac:dyDescent="0.6">
      <c r="A9" s="56" t="str">
        <f>Команды!A10</f>
        <v>Час пробил</v>
      </c>
      <c r="B9" s="6">
        <v>0</v>
      </c>
      <c r="C9" s="6">
        <v>200</v>
      </c>
      <c r="D9" s="6">
        <v>300</v>
      </c>
      <c r="E9" s="6">
        <v>100</v>
      </c>
      <c r="F9" s="4">
        <f t="shared" si="0"/>
        <v>600</v>
      </c>
    </row>
    <row r="10" spans="1:6" ht="54" x14ac:dyDescent="0.6">
      <c r="A10" s="56" t="str">
        <f>Команды!A11</f>
        <v>Вучичи</v>
      </c>
      <c r="B10" s="6">
        <v>0</v>
      </c>
      <c r="C10" s="6">
        <v>100</v>
      </c>
      <c r="D10" s="6">
        <v>300</v>
      </c>
      <c r="E10" s="6">
        <v>-200</v>
      </c>
      <c r="F10" s="4">
        <f t="shared" si="0"/>
        <v>200</v>
      </c>
    </row>
    <row r="11" spans="1:6" ht="53" customHeight="1" x14ac:dyDescent="0.6">
      <c r="A11" s="56">
        <f>Команды!A12</f>
        <v>0</v>
      </c>
      <c r="B11" s="6"/>
      <c r="C11" s="6"/>
      <c r="D11" s="6"/>
      <c r="E11" s="6"/>
      <c r="F11" s="4" t="str">
        <f t="shared" si="0"/>
        <v/>
      </c>
    </row>
    <row r="12" spans="1:6" ht="54" x14ac:dyDescent="0.6">
      <c r="A12" s="56">
        <f>Команды!A13</f>
        <v>0</v>
      </c>
      <c r="B12" s="6"/>
      <c r="C12" s="6"/>
      <c r="D12" s="6"/>
      <c r="E12" s="6"/>
      <c r="F12" s="4" t="str">
        <f t="shared" si="0"/>
        <v/>
      </c>
    </row>
    <row r="13" spans="1:6" ht="54" x14ac:dyDescent="0.6">
      <c r="A13" s="56">
        <f>Команды!A14</f>
        <v>0</v>
      </c>
      <c r="B13" s="6"/>
      <c r="C13" s="6"/>
      <c r="D13" s="6"/>
      <c r="E13" s="6"/>
      <c r="F13" s="4" t="str">
        <f t="shared" si="0"/>
        <v/>
      </c>
    </row>
    <row r="14" spans="1:6" ht="54" x14ac:dyDescent="0.6">
      <c r="A14" s="56">
        <f>Команды!A15</f>
        <v>0</v>
      </c>
      <c r="B14" s="6"/>
      <c r="C14" s="6"/>
      <c r="D14" s="6"/>
      <c r="E14" s="6"/>
      <c r="F14" s="4" t="str">
        <f t="shared" si="0"/>
        <v/>
      </c>
    </row>
    <row r="15" spans="1:6" ht="54" x14ac:dyDescent="0.6">
      <c r="A15" s="56">
        <f>Команды!A16</f>
        <v>0</v>
      </c>
      <c r="B15" s="6"/>
      <c r="C15" s="6"/>
      <c r="D15" s="6"/>
      <c r="E15" s="6"/>
      <c r="F15" s="4" t="str">
        <f t="shared" si="0"/>
        <v/>
      </c>
    </row>
    <row r="16" spans="1:6" ht="54" x14ac:dyDescent="0.6">
      <c r="A16" s="56">
        <f>Команды!A17</f>
        <v>0</v>
      </c>
      <c r="B16" s="6"/>
      <c r="C16" s="6"/>
      <c r="D16" s="6"/>
      <c r="E16" s="6"/>
      <c r="F16" s="4" t="str">
        <f t="shared" si="0"/>
        <v/>
      </c>
    </row>
    <row r="17" spans="1:6" ht="54" customHeight="1" x14ac:dyDescent="0.6">
      <c r="A17" s="56">
        <f>Команды!A18</f>
        <v>0</v>
      </c>
      <c r="B17" s="6"/>
      <c r="C17" s="6"/>
      <c r="D17" s="6"/>
      <c r="E17" s="6"/>
      <c r="F17" s="4" t="str">
        <f t="shared" si="0"/>
        <v/>
      </c>
    </row>
    <row r="18" spans="1:6" ht="54" customHeight="1" x14ac:dyDescent="0.6">
      <c r="A18" s="56">
        <f>Команды!A19</f>
        <v>0</v>
      </c>
      <c r="B18" s="6"/>
      <c r="C18" s="6"/>
      <c r="D18" s="6"/>
      <c r="E18" s="6"/>
      <c r="F18" s="4" t="str">
        <f t="shared" si="0"/>
        <v/>
      </c>
    </row>
    <row r="19" spans="1:6" ht="54" customHeight="1" x14ac:dyDescent="0.6">
      <c r="A19" s="56">
        <f>Команды!A20</f>
        <v>0</v>
      </c>
      <c r="B19" s="6"/>
      <c r="C19" s="6"/>
      <c r="D19" s="6"/>
      <c r="E19" s="6"/>
      <c r="F19" s="4" t="str">
        <f t="shared" ref="F19:F22" si="1">IF(ISNUMBER(B19),SUM(B19:E19),"")</f>
        <v/>
      </c>
    </row>
    <row r="20" spans="1:6" ht="54" customHeight="1" x14ac:dyDescent="0.6">
      <c r="A20" s="56">
        <f>Команды!A21</f>
        <v>0</v>
      </c>
      <c r="B20" s="6"/>
      <c r="C20" s="6"/>
      <c r="D20" s="6"/>
      <c r="E20" s="6"/>
      <c r="F20" s="4" t="str">
        <f t="shared" si="1"/>
        <v/>
      </c>
    </row>
    <row r="21" spans="1:6" ht="54" customHeight="1" x14ac:dyDescent="0.6">
      <c r="A21" s="56">
        <f>Команды!A22</f>
        <v>0</v>
      </c>
      <c r="B21" s="6"/>
      <c r="C21" s="6"/>
      <c r="D21" s="6"/>
      <c r="E21" s="6"/>
      <c r="F21" s="4" t="str">
        <f t="shared" si="1"/>
        <v/>
      </c>
    </row>
    <row r="22" spans="1:6" ht="53.5" customHeight="1" x14ac:dyDescent="0.6">
      <c r="A22" s="56">
        <f>Команды!A23</f>
        <v>0</v>
      </c>
      <c r="B22" s="6"/>
      <c r="C22" s="6"/>
      <c r="D22" s="6"/>
      <c r="E22" s="6"/>
      <c r="F22" s="4" t="str">
        <f t="shared" si="1"/>
        <v/>
      </c>
    </row>
  </sheetData>
  <conditionalFormatting sqref="F3:F22">
    <cfRule type="top10" dxfId="56" priority="1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U64"/>
  <sheetViews>
    <sheetView showGridLines="0" zoomScale="55" zoomScaleNormal="55" workbookViewId="0">
      <selection activeCell="F13" sqref="F13"/>
    </sheetView>
  </sheetViews>
  <sheetFormatPr baseColWidth="10" defaultColWidth="8.83203125" defaultRowHeight="47" outlineLevelCol="1" x14ac:dyDescent="0.55000000000000004"/>
  <cols>
    <col min="1" max="1" width="93.1640625" customWidth="1"/>
    <col min="2" max="9" width="28.83203125" customWidth="1"/>
    <col min="10" max="10" width="43" customWidth="1"/>
    <col min="11" max="11" width="2.33203125" customWidth="1"/>
    <col min="12" max="12" width="38.83203125" customWidth="1"/>
    <col min="13" max="13" width="9.1640625" hidden="1" customWidth="1" outlineLevel="1"/>
    <col min="14" max="14" width="25.83203125" hidden="1" customWidth="1" outlineLevel="1"/>
    <col min="15" max="16" width="9.1640625" hidden="1" customWidth="1" outlineLevel="1"/>
    <col min="17" max="17" width="19.1640625" hidden="1" customWidth="1" outlineLevel="1"/>
    <col min="18" max="18" width="9.1640625" style="33" hidden="1" customWidth="1" outlineLevel="1"/>
    <col min="19" max="19" width="24.83203125" style="33" hidden="1" customWidth="1" outlineLevel="1"/>
    <col min="20" max="20" width="9.1640625" style="33" hidden="1" customWidth="1" outlineLevel="1"/>
    <col min="21" max="21" width="9.1640625" style="33" customWidth="1" collapsed="1"/>
  </cols>
  <sheetData>
    <row r="1" spans="1:17" ht="116.25" customHeight="1" x14ac:dyDescent="0.6">
      <c r="A1" s="50" t="s">
        <v>12</v>
      </c>
      <c r="B1" s="57" t="s">
        <v>0</v>
      </c>
      <c r="C1" s="58"/>
      <c r="D1" s="57" t="s">
        <v>1</v>
      </c>
      <c r="E1" s="58"/>
      <c r="F1" s="57" t="s">
        <v>2</v>
      </c>
      <c r="G1" s="58"/>
      <c r="H1" s="57" t="s">
        <v>3</v>
      </c>
      <c r="I1" s="58"/>
      <c r="J1" s="51" t="s">
        <v>40</v>
      </c>
      <c r="K1" s="33"/>
      <c r="L1" s="49" t="s">
        <v>39</v>
      </c>
    </row>
    <row r="2" spans="1:17" ht="55.25" customHeight="1" x14ac:dyDescent="0.6">
      <c r="A2" s="48" t="str">
        <f>Команды!A4</f>
        <v>Однажды было дважды</v>
      </c>
      <c r="B2" s="8">
        <v>-1100</v>
      </c>
      <c r="C2" s="40">
        <v>2800</v>
      </c>
      <c r="D2" s="8">
        <v>-200</v>
      </c>
      <c r="E2" s="40">
        <v>1500</v>
      </c>
      <c r="F2" s="8">
        <v>-600</v>
      </c>
      <c r="G2" s="40">
        <v>1000</v>
      </c>
      <c r="H2" s="8">
        <v>-200</v>
      </c>
      <c r="I2" s="40">
        <v>1000</v>
      </c>
      <c r="J2" s="9">
        <f>IF(ISNUMBER(B2),ROUND(SUM(B2:I2)/100,1)*100,"")</f>
        <v>4200</v>
      </c>
      <c r="K2" s="33"/>
      <c r="L2" s="54">
        <f>VLOOKUP(A2,'Общая таблица'!$A:$I,9,0)</f>
        <v>5500</v>
      </c>
      <c r="M2" s="21"/>
      <c r="N2" s="39"/>
      <c r="O2" s="21"/>
      <c r="Q2" s="34">
        <f>VLOOKUP(A2,'Общая таблица'!A:I,9,0)</f>
        <v>5500</v>
      </c>
    </row>
    <row r="3" spans="1:17" ht="55.25" customHeight="1" x14ac:dyDescent="0.6">
      <c r="A3" s="48" t="str">
        <f>Команды!A5</f>
        <v>Тихая дружба с овощем</v>
      </c>
      <c r="B3" s="8">
        <v>-1000</v>
      </c>
      <c r="C3" s="40">
        <v>1800</v>
      </c>
      <c r="D3" s="8">
        <v>-200</v>
      </c>
      <c r="E3" s="40">
        <v>1300</v>
      </c>
      <c r="F3" s="8">
        <v>-1100</v>
      </c>
      <c r="G3" s="40">
        <v>3000</v>
      </c>
      <c r="H3" s="8">
        <v>-300</v>
      </c>
      <c r="I3" s="40">
        <v>1500</v>
      </c>
      <c r="J3" s="9">
        <f t="shared" ref="J3:J17" si="0">IF(ISNUMBER(B3),ROUND(SUM(B3:I3)/100,1)*100,"")</f>
        <v>5000</v>
      </c>
      <c r="K3" s="46"/>
      <c r="L3" s="54">
        <f>VLOOKUP(A3,'Общая таблица'!$A:$I,9,0)</f>
        <v>5900</v>
      </c>
      <c r="M3" s="16"/>
      <c r="N3" s="16"/>
      <c r="O3" s="16"/>
      <c r="Q3" s="34">
        <f>VLOOKUP(A3,'Общая таблица'!A:I,9,0)</f>
        <v>5900</v>
      </c>
    </row>
    <row r="4" spans="1:17" ht="55.25" customHeight="1" x14ac:dyDescent="0.6">
      <c r="A4" s="48" t="str">
        <f>Команды!A6</f>
        <v>Суровая реальность</v>
      </c>
      <c r="B4" s="8">
        <v>-900</v>
      </c>
      <c r="C4" s="40">
        <v>1500</v>
      </c>
      <c r="D4" s="8">
        <v>-1500</v>
      </c>
      <c r="E4" s="40">
        <v>3250</v>
      </c>
      <c r="F4" s="8">
        <v>-500</v>
      </c>
      <c r="G4" s="40">
        <v>1000</v>
      </c>
      <c r="H4" s="8">
        <v>-1600</v>
      </c>
      <c r="I4" s="40">
        <v>3500</v>
      </c>
      <c r="J4" s="9">
        <f t="shared" si="0"/>
        <v>4750</v>
      </c>
      <c r="K4" s="46"/>
      <c r="L4" s="54">
        <f>VLOOKUP(A4,'Общая таблица'!$A:$I,9,0)</f>
        <v>6200</v>
      </c>
      <c r="M4" s="16"/>
      <c r="N4" s="16"/>
      <c r="O4" s="16"/>
      <c r="Q4" s="34">
        <f>VLOOKUP(A4,'Общая таблица'!A:I,9,0)</f>
        <v>6200</v>
      </c>
    </row>
    <row r="5" spans="1:17" ht="55.25" customHeight="1" x14ac:dyDescent="0.6">
      <c r="A5" s="48" t="str">
        <f>Команды!A7</f>
        <v>А меня не прет</v>
      </c>
      <c r="B5" s="8">
        <v>-100</v>
      </c>
      <c r="C5" s="40">
        <v>500</v>
      </c>
      <c r="D5" s="8">
        <v>-300</v>
      </c>
      <c r="E5" s="40">
        <v>1950</v>
      </c>
      <c r="F5" s="8">
        <v>-100</v>
      </c>
      <c r="G5" s="40">
        <v>1000</v>
      </c>
      <c r="H5" s="8">
        <v>-1300</v>
      </c>
      <c r="I5" s="40">
        <v>1400</v>
      </c>
      <c r="J5" s="9">
        <f t="shared" si="0"/>
        <v>3050</v>
      </c>
      <c r="K5" s="46"/>
      <c r="L5" s="54">
        <f>VLOOKUP(A5,'Общая таблица'!$A:$I,9,0)</f>
        <v>4000</v>
      </c>
      <c r="Q5" s="34">
        <f>VLOOKUP(A5,'Общая таблица'!A:I,9,0)</f>
        <v>4000</v>
      </c>
    </row>
    <row r="6" spans="1:17" ht="55.25" customHeight="1" x14ac:dyDescent="0.6">
      <c r="A6" s="48" t="str">
        <f>Команды!A8</f>
        <v>Остров предположений</v>
      </c>
      <c r="B6" s="8">
        <v>-1300</v>
      </c>
      <c r="C6" s="40">
        <v>2750</v>
      </c>
      <c r="D6" s="8">
        <v>-500</v>
      </c>
      <c r="E6" s="40">
        <v>2600</v>
      </c>
      <c r="F6" s="8">
        <v>-1300</v>
      </c>
      <c r="G6" s="40">
        <v>2500</v>
      </c>
      <c r="H6" s="8">
        <v>-300</v>
      </c>
      <c r="I6" s="40">
        <v>1400</v>
      </c>
      <c r="J6" s="9">
        <f t="shared" si="0"/>
        <v>5850</v>
      </c>
      <c r="K6" s="46"/>
      <c r="L6" s="54">
        <f>VLOOKUP(A6,'Общая таблица'!$A:$I,9,0)</f>
        <v>600</v>
      </c>
      <c r="Q6" s="34">
        <f>VLOOKUP(A6,'Общая таблица'!A:I,9,0)</f>
        <v>600</v>
      </c>
    </row>
    <row r="7" spans="1:17" ht="55.25" customHeight="1" x14ac:dyDescent="0.6">
      <c r="A7" s="48" t="str">
        <f>Команды!A9</f>
        <v>Кроме шуток</v>
      </c>
      <c r="B7" s="8">
        <v>-100</v>
      </c>
      <c r="C7" s="40">
        <v>1400</v>
      </c>
      <c r="D7" s="8">
        <v>-100</v>
      </c>
      <c r="E7" s="40">
        <v>800</v>
      </c>
      <c r="F7" s="8">
        <v>-1100</v>
      </c>
      <c r="G7" s="40">
        <v>1500</v>
      </c>
      <c r="H7" s="8">
        <v>-1500</v>
      </c>
      <c r="I7" s="40">
        <v>1800</v>
      </c>
      <c r="J7" s="9">
        <f t="shared" si="0"/>
        <v>2700</v>
      </c>
      <c r="K7" s="46"/>
      <c r="L7" s="54">
        <f>VLOOKUP(A7,'Общая таблица'!$A:$I,9,0)</f>
        <v>14000</v>
      </c>
      <c r="Q7" s="34">
        <f>VLOOKUP(A7,'Общая таблица'!A:I,9,0)</f>
        <v>14000</v>
      </c>
    </row>
    <row r="8" spans="1:17" ht="55.25" customHeight="1" x14ac:dyDescent="0.6">
      <c r="A8" s="48" t="str">
        <f>Команды!A10</f>
        <v>Час пробил</v>
      </c>
      <c r="B8" s="8">
        <v>-100</v>
      </c>
      <c r="C8" s="40">
        <v>800</v>
      </c>
      <c r="D8" s="8">
        <v>-100</v>
      </c>
      <c r="E8" s="40">
        <v>1000</v>
      </c>
      <c r="F8" s="8">
        <v>-100</v>
      </c>
      <c r="G8" s="40">
        <v>1000</v>
      </c>
      <c r="H8" s="8">
        <v>-1300</v>
      </c>
      <c r="I8" s="40">
        <v>2100</v>
      </c>
      <c r="J8" s="9">
        <f t="shared" si="0"/>
        <v>3300</v>
      </c>
      <c r="K8" s="46"/>
      <c r="L8" s="54">
        <f>VLOOKUP(A8,'Общая таблица'!$A:$I,9,0)</f>
        <v>10600</v>
      </c>
      <c r="Q8" s="34">
        <f>VLOOKUP(A8,'Общая таблица'!A:I,9,0)</f>
        <v>10600</v>
      </c>
    </row>
    <row r="9" spans="1:17" ht="55.25" customHeight="1" x14ac:dyDescent="0.6">
      <c r="A9" s="48" t="str">
        <f>Команды!A11</f>
        <v>Вучичи</v>
      </c>
      <c r="B9" s="8">
        <v>-100</v>
      </c>
      <c r="C9" s="40">
        <v>200</v>
      </c>
      <c r="D9" s="8">
        <v>-100</v>
      </c>
      <c r="E9" s="40">
        <v>800</v>
      </c>
      <c r="F9" s="8">
        <v>-100</v>
      </c>
      <c r="G9" s="40">
        <v>700</v>
      </c>
      <c r="H9" s="8">
        <v>-100</v>
      </c>
      <c r="I9" s="40">
        <v>500</v>
      </c>
      <c r="J9" s="9">
        <f t="shared" si="0"/>
        <v>1800</v>
      </c>
      <c r="K9" s="46"/>
      <c r="L9" s="54">
        <f>VLOOKUP(A9,'Общая таблица'!$A:$I,9,0)</f>
        <v>200</v>
      </c>
      <c r="Q9" s="34">
        <f>VLOOKUP(A9,'Общая таблица'!A:I,9,0)</f>
        <v>200</v>
      </c>
    </row>
    <row r="10" spans="1:17" ht="55.25" customHeight="1" x14ac:dyDescent="0.6">
      <c r="A10" s="48">
        <f>Команды!A12</f>
        <v>0</v>
      </c>
      <c r="B10" s="8"/>
      <c r="C10" s="40"/>
      <c r="D10" s="8"/>
      <c r="E10" s="40"/>
      <c r="F10" s="8"/>
      <c r="G10" s="40"/>
      <c r="H10" s="8"/>
      <c r="I10" s="40"/>
      <c r="J10" s="9" t="str">
        <f t="shared" si="0"/>
        <v/>
      </c>
      <c r="K10" s="46"/>
      <c r="L10" s="54" t="str">
        <f>VLOOKUP(A10,'Общая таблица'!$A:$I,9,0)</f>
        <v/>
      </c>
      <c r="Q10" s="34" t="str">
        <f>VLOOKUP(A10,'Общая таблица'!A:I,9,0)</f>
        <v/>
      </c>
    </row>
    <row r="11" spans="1:17" ht="55.25" customHeight="1" x14ac:dyDescent="0.6">
      <c r="A11" s="48">
        <f>Команды!A13</f>
        <v>0</v>
      </c>
      <c r="B11" s="8"/>
      <c r="C11" s="40"/>
      <c r="D11" s="8"/>
      <c r="E11" s="40"/>
      <c r="F11" s="8"/>
      <c r="G11" s="40"/>
      <c r="H11" s="8"/>
      <c r="I11" s="40"/>
      <c r="J11" s="9" t="str">
        <f t="shared" si="0"/>
        <v/>
      </c>
      <c r="K11" s="46"/>
      <c r="L11" s="54" t="str">
        <f>VLOOKUP(A11,'Общая таблица'!$A:$I,9,0)</f>
        <v/>
      </c>
      <c r="Q11" s="34" t="str">
        <f>VLOOKUP(A11,'Общая таблица'!A:I,9,0)</f>
        <v/>
      </c>
    </row>
    <row r="12" spans="1:17" ht="55.25" customHeight="1" x14ac:dyDescent="0.6">
      <c r="A12" s="48">
        <f>Команды!A14</f>
        <v>0</v>
      </c>
      <c r="B12" s="8"/>
      <c r="C12" s="40"/>
      <c r="D12" s="8"/>
      <c r="E12" s="40"/>
      <c r="F12" s="8"/>
      <c r="G12" s="40"/>
      <c r="H12" s="8"/>
      <c r="I12" s="40"/>
      <c r="J12" s="9" t="str">
        <f t="shared" si="0"/>
        <v/>
      </c>
      <c r="K12" s="46"/>
      <c r="L12" s="54" t="str">
        <f>VLOOKUP(A12,'Общая таблица'!$A:$I,9,0)</f>
        <v/>
      </c>
      <c r="Q12" s="34" t="str">
        <f>VLOOKUP(A12,'Общая таблица'!A:I,9,0)</f>
        <v/>
      </c>
    </row>
    <row r="13" spans="1:17" ht="55.25" customHeight="1" x14ac:dyDescent="0.6">
      <c r="A13" s="48">
        <f>Команды!A15</f>
        <v>0</v>
      </c>
      <c r="B13" s="8"/>
      <c r="C13" s="40"/>
      <c r="D13" s="8"/>
      <c r="E13" s="40"/>
      <c r="F13" s="8"/>
      <c r="G13" s="40"/>
      <c r="H13" s="8"/>
      <c r="I13" s="40"/>
      <c r="J13" s="9" t="str">
        <f t="shared" si="0"/>
        <v/>
      </c>
      <c r="K13" s="46"/>
      <c r="L13" s="54" t="str">
        <f>VLOOKUP(A13,'Общая таблица'!$A:$I,9,0)</f>
        <v/>
      </c>
      <c r="Q13" s="34" t="str">
        <f>VLOOKUP(A13,'Общая таблица'!A:I,9,0)</f>
        <v/>
      </c>
    </row>
    <row r="14" spans="1:17" ht="55.25" customHeight="1" x14ac:dyDescent="0.6">
      <c r="A14" s="48">
        <f>Команды!A16</f>
        <v>0</v>
      </c>
      <c r="B14" s="8"/>
      <c r="C14" s="40"/>
      <c r="D14" s="8"/>
      <c r="E14" s="40"/>
      <c r="F14" s="8"/>
      <c r="G14" s="40"/>
      <c r="H14" s="8"/>
      <c r="I14" s="40"/>
      <c r="J14" s="9" t="str">
        <f t="shared" si="0"/>
        <v/>
      </c>
      <c r="K14" s="46"/>
      <c r="L14" s="54" t="str">
        <f>VLOOKUP(A14,'Общая таблица'!$A:$I,9,0)</f>
        <v/>
      </c>
      <c r="Q14" s="34" t="str">
        <f>VLOOKUP(A14,'Общая таблица'!A:I,9,0)</f>
        <v/>
      </c>
    </row>
    <row r="15" spans="1:17" ht="55.25" customHeight="1" x14ac:dyDescent="0.6">
      <c r="A15" s="48">
        <f>Команды!A17</f>
        <v>0</v>
      </c>
      <c r="B15" s="8"/>
      <c r="C15" s="40"/>
      <c r="D15" s="8"/>
      <c r="E15" s="40"/>
      <c r="F15" s="8"/>
      <c r="G15" s="40"/>
      <c r="H15" s="8"/>
      <c r="I15" s="40"/>
      <c r="J15" s="9" t="str">
        <f t="shared" si="0"/>
        <v/>
      </c>
      <c r="K15" s="46"/>
      <c r="L15" s="54" t="str">
        <f>VLOOKUP(A15,'Общая таблица'!$A:$I,9,0)</f>
        <v/>
      </c>
      <c r="Q15" s="34" t="str">
        <f>VLOOKUP(A15,'Общая таблица'!A:I,9,0)</f>
        <v/>
      </c>
    </row>
    <row r="16" spans="1:17" ht="55.25" customHeight="1" x14ac:dyDescent="0.6">
      <c r="A16" s="48">
        <f>Команды!A18</f>
        <v>0</v>
      </c>
      <c r="B16" s="8"/>
      <c r="C16" s="40"/>
      <c r="D16" s="8"/>
      <c r="E16" s="40"/>
      <c r="F16" s="8"/>
      <c r="G16" s="40"/>
      <c r="H16" s="8"/>
      <c r="I16" s="40"/>
      <c r="J16" s="9" t="str">
        <f t="shared" si="0"/>
        <v/>
      </c>
      <c r="K16" s="46"/>
      <c r="L16" s="54" t="str">
        <f>VLOOKUP(A16,'Общая таблица'!$A:$I,9,0)</f>
        <v/>
      </c>
      <c r="Q16" s="34" t="str">
        <f>VLOOKUP(A16,'Общая таблица'!A:I,9,0)</f>
        <v/>
      </c>
    </row>
    <row r="17" spans="1:17" ht="55.25" customHeight="1" x14ac:dyDescent="0.6">
      <c r="A17" s="48">
        <f>Команды!A19</f>
        <v>0</v>
      </c>
      <c r="B17" s="8"/>
      <c r="C17" s="40"/>
      <c r="D17" s="8"/>
      <c r="E17" s="40"/>
      <c r="F17" s="8"/>
      <c r="G17" s="40"/>
      <c r="H17" s="8"/>
      <c r="I17" s="40"/>
      <c r="J17" s="9" t="str">
        <f t="shared" si="0"/>
        <v/>
      </c>
      <c r="K17" s="46"/>
      <c r="L17" s="54" t="str">
        <f>VLOOKUP(A17,'Общая таблица'!$A:$I,9,0)</f>
        <v/>
      </c>
      <c r="Q17" s="34" t="str">
        <f>VLOOKUP(A17,'Общая таблица'!A:I,9,0)</f>
        <v/>
      </c>
    </row>
    <row r="18" spans="1:17" ht="54" customHeight="1" x14ac:dyDescent="0.6">
      <c r="A18" s="48">
        <f>Команды!A20</f>
        <v>0</v>
      </c>
      <c r="B18" s="8"/>
      <c r="C18" s="40"/>
      <c r="D18" s="8"/>
      <c r="E18" s="40"/>
      <c r="F18" s="8"/>
      <c r="G18" s="40"/>
      <c r="H18" s="8"/>
      <c r="I18" s="40"/>
      <c r="J18" s="9" t="str">
        <f t="shared" ref="J18:J21" si="1">IF(ISNUMBER(B18),ROUND(SUM(B18:I18)/100,1)*100,"")</f>
        <v/>
      </c>
      <c r="K18" s="46"/>
      <c r="L18" s="54" t="str">
        <f>VLOOKUP(A18,'Общая таблица'!$A:$I,9,0)</f>
        <v/>
      </c>
      <c r="Q18" s="34" t="str">
        <f>VLOOKUP(A18,'Общая таблица'!A:I,9,0)</f>
        <v/>
      </c>
    </row>
    <row r="19" spans="1:17" ht="54" customHeight="1" x14ac:dyDescent="0.6">
      <c r="A19" s="48">
        <f>Команды!A21</f>
        <v>0</v>
      </c>
      <c r="B19" s="8"/>
      <c r="C19" s="40"/>
      <c r="D19" s="8"/>
      <c r="E19" s="40"/>
      <c r="F19" s="8"/>
      <c r="G19" s="40"/>
      <c r="H19" s="8"/>
      <c r="I19" s="40"/>
      <c r="J19" s="9" t="str">
        <f t="shared" si="1"/>
        <v/>
      </c>
      <c r="K19" s="46"/>
      <c r="L19" s="54" t="str">
        <f>VLOOKUP(A19,'Общая таблица'!$A:$I,9,0)</f>
        <v/>
      </c>
      <c r="Q19" s="34" t="str">
        <f>VLOOKUP(A19,'Общая таблица'!A:I,9,0)</f>
        <v/>
      </c>
    </row>
    <row r="20" spans="1:17" ht="54" customHeight="1" x14ac:dyDescent="0.6">
      <c r="A20" s="48">
        <f>Команды!A22</f>
        <v>0</v>
      </c>
      <c r="B20" s="8"/>
      <c r="C20" s="40"/>
      <c r="D20" s="8"/>
      <c r="E20" s="40"/>
      <c r="F20" s="8"/>
      <c r="G20" s="40"/>
      <c r="H20" s="8"/>
      <c r="I20" s="40"/>
      <c r="J20" s="9" t="str">
        <f t="shared" si="1"/>
        <v/>
      </c>
      <c r="K20" s="46"/>
      <c r="L20" s="54" t="str">
        <f>VLOOKUP(A20,'Общая таблица'!$A:$I,9,0)</f>
        <v/>
      </c>
      <c r="Q20" s="34" t="str">
        <f>VLOOKUP(A20,'Общая таблица'!A:I,9,0)</f>
        <v/>
      </c>
    </row>
    <row r="21" spans="1:17" ht="54" customHeight="1" x14ac:dyDescent="0.6">
      <c r="A21" s="48">
        <f>Команды!A23</f>
        <v>0</v>
      </c>
      <c r="B21" s="8"/>
      <c r="C21" s="40"/>
      <c r="D21" s="8"/>
      <c r="E21" s="40"/>
      <c r="F21" s="8"/>
      <c r="G21" s="40"/>
      <c r="H21" s="8"/>
      <c r="I21" s="40"/>
      <c r="J21" s="9" t="str">
        <f t="shared" si="1"/>
        <v/>
      </c>
      <c r="K21" s="46"/>
      <c r="L21" s="54" t="str">
        <f>VLOOKUP(A21,'Общая таблица'!$A:$I,9,0)</f>
        <v/>
      </c>
      <c r="Q21" s="34" t="str">
        <f>VLOOKUP(A21,'Общая таблица'!A:I,9,0)</f>
        <v/>
      </c>
    </row>
    <row r="22" spans="1:17" ht="54" customHeight="1" x14ac:dyDescent="0.55000000000000004"/>
    <row r="30" spans="1:17" ht="58.5" customHeight="1" x14ac:dyDescent="0.55000000000000004">
      <c r="A30" s="23" t="s">
        <v>18</v>
      </c>
      <c r="B30" s="24">
        <v>2.5</v>
      </c>
      <c r="C30" s="27">
        <v>1</v>
      </c>
    </row>
    <row r="31" spans="1:17" ht="58.5" customHeight="1" x14ac:dyDescent="0.55000000000000004">
      <c r="A31" s="23" t="s">
        <v>18</v>
      </c>
      <c r="B31" s="24">
        <v>2</v>
      </c>
      <c r="C31" s="27">
        <v>1</v>
      </c>
    </row>
    <row r="32" spans="1:17" ht="58.5" customHeight="1" x14ac:dyDescent="0.55000000000000004">
      <c r="A32" s="25" t="s">
        <v>18</v>
      </c>
      <c r="B32" s="26">
        <v>1.5</v>
      </c>
      <c r="C32" s="27">
        <v>1</v>
      </c>
    </row>
    <row r="33" spans="1:3" ht="58.5" customHeight="1" x14ac:dyDescent="0.55000000000000004">
      <c r="A33" s="28" t="s">
        <v>17</v>
      </c>
      <c r="B33" s="29"/>
      <c r="C33" s="30">
        <f>SUM(C30:C32)</f>
        <v>3</v>
      </c>
    </row>
    <row r="34" spans="1:3" ht="58.5" customHeight="1" x14ac:dyDescent="0.55000000000000004">
      <c r="A34" s="18"/>
      <c r="B34" s="19" t="s">
        <v>19</v>
      </c>
      <c r="C34" s="20"/>
    </row>
    <row r="35" spans="1:3" ht="58.5" customHeight="1" x14ac:dyDescent="0.55000000000000004">
      <c r="A35">
        <f t="shared" ref="A35:A46" si="2">IF(ROW(A35)-ROW($A$34)&lt;=$C$33,ROW(A35)-ROW($A$34),"")</f>
        <v>1</v>
      </c>
      <c r="B35" s="17">
        <f t="shared" ref="B35:B40" si="3">IFERROR(SMALL(B$2:B$21,$A35),"")</f>
        <v>-1300</v>
      </c>
    </row>
    <row r="36" spans="1:3" ht="58.5" customHeight="1" x14ac:dyDescent="0.55000000000000004">
      <c r="A36">
        <f t="shared" si="2"/>
        <v>2</v>
      </c>
      <c r="B36" s="17">
        <f t="shared" si="3"/>
        <v>-1100</v>
      </c>
    </row>
    <row r="37" spans="1:3" ht="58.5" customHeight="1" x14ac:dyDescent="0.55000000000000004">
      <c r="A37">
        <f t="shared" si="2"/>
        <v>3</v>
      </c>
      <c r="B37" s="17">
        <f t="shared" si="3"/>
        <v>-1000</v>
      </c>
    </row>
    <row r="38" spans="1:3" ht="58.5" customHeight="1" x14ac:dyDescent="0.55000000000000004">
      <c r="A38" t="str">
        <f t="shared" si="2"/>
        <v/>
      </c>
      <c r="B38" s="17" t="str">
        <f t="shared" si="3"/>
        <v/>
      </c>
    </row>
    <row r="39" spans="1:3" ht="58.5" customHeight="1" x14ac:dyDescent="0.55000000000000004">
      <c r="A39" t="str">
        <f t="shared" si="2"/>
        <v/>
      </c>
      <c r="B39" s="17" t="str">
        <f t="shared" si="3"/>
        <v/>
      </c>
    </row>
    <row r="40" spans="1:3" ht="58.5" customHeight="1" x14ac:dyDescent="0.55000000000000004">
      <c r="A40" t="str">
        <f t="shared" si="2"/>
        <v/>
      </c>
      <c r="B40" s="17" t="str">
        <f t="shared" si="3"/>
        <v/>
      </c>
    </row>
    <row r="41" spans="1:3" ht="58.5" customHeight="1" x14ac:dyDescent="0.55000000000000004">
      <c r="A41" t="str">
        <f t="shared" si="2"/>
        <v/>
      </c>
      <c r="B41" s="17" t="str">
        <f>IFERROR(SMALL(B$2:B$21,$A41),"")</f>
        <v/>
      </c>
    </row>
    <row r="42" spans="1:3" ht="58.5" customHeight="1" x14ac:dyDescent="0.55000000000000004">
      <c r="A42" t="str">
        <f t="shared" si="2"/>
        <v/>
      </c>
      <c r="B42" s="17" t="str">
        <f t="shared" ref="B42:B46" si="4">IFERROR(SMALL(B$2:B$21,$A42),"")</f>
        <v/>
      </c>
    </row>
    <row r="43" spans="1:3" ht="58.5" customHeight="1" x14ac:dyDescent="0.55000000000000004">
      <c r="A43" t="str">
        <f t="shared" si="2"/>
        <v/>
      </c>
      <c r="B43" s="17" t="str">
        <f t="shared" si="4"/>
        <v/>
      </c>
    </row>
    <row r="44" spans="1:3" ht="58.5" customHeight="1" x14ac:dyDescent="0.55000000000000004">
      <c r="A44" t="str">
        <f t="shared" si="2"/>
        <v/>
      </c>
      <c r="B44" s="17" t="str">
        <f t="shared" si="4"/>
        <v/>
      </c>
    </row>
    <row r="45" spans="1:3" ht="58.5" customHeight="1" x14ac:dyDescent="0.55000000000000004">
      <c r="A45" t="str">
        <f t="shared" si="2"/>
        <v/>
      </c>
      <c r="B45" s="17" t="str">
        <f t="shared" si="4"/>
        <v/>
      </c>
    </row>
    <row r="46" spans="1:3" ht="58.5" customHeight="1" x14ac:dyDescent="0.55000000000000004">
      <c r="A46" t="str">
        <f t="shared" si="2"/>
        <v/>
      </c>
      <c r="B46" s="17" t="str">
        <f t="shared" si="4"/>
        <v/>
      </c>
    </row>
    <row r="47" spans="1:3" ht="58.5" customHeight="1" x14ac:dyDescent="0.55000000000000004">
      <c r="A47" s="31" t="s">
        <v>25</v>
      </c>
    </row>
    <row r="48" spans="1:3" ht="58.5" customHeight="1" x14ac:dyDescent="0.55000000000000004">
      <c r="A48" s="32">
        <f>IF(A35&gt;0,A35,"")</f>
        <v>1</v>
      </c>
      <c r="B48" s="17" t="b">
        <f>IF(B35=B36,VLOOKUP(C35,'Общая таблица'!$A:$I,9,1))</f>
        <v>0</v>
      </c>
    </row>
    <row r="49" ht="58.5" customHeight="1" x14ac:dyDescent="0.55000000000000004"/>
    <row r="50" ht="58.5" customHeight="1" x14ac:dyDescent="0.55000000000000004"/>
    <row r="51" ht="58.5" customHeight="1" x14ac:dyDescent="0.55000000000000004"/>
    <row r="52" ht="58.5" customHeight="1" x14ac:dyDescent="0.55000000000000004"/>
    <row r="53" ht="58.5" customHeight="1" x14ac:dyDescent="0.55000000000000004"/>
    <row r="54" ht="58.5" customHeight="1" x14ac:dyDescent="0.55000000000000004"/>
    <row r="55" ht="58.5" customHeight="1" x14ac:dyDescent="0.55000000000000004"/>
    <row r="56" ht="58.5" customHeight="1" x14ac:dyDescent="0.55000000000000004"/>
    <row r="57" ht="58.5" customHeight="1" x14ac:dyDescent="0.55000000000000004"/>
    <row r="58" ht="58.5" customHeight="1" x14ac:dyDescent="0.55000000000000004"/>
    <row r="59" ht="58.5" customHeight="1" x14ac:dyDescent="0.55000000000000004"/>
    <row r="60" ht="58.5" customHeight="1" x14ac:dyDescent="0.55000000000000004"/>
    <row r="61" ht="58.5" customHeight="1" x14ac:dyDescent="0.55000000000000004"/>
    <row r="62" ht="58.5" customHeight="1" x14ac:dyDescent="0.55000000000000004"/>
    <row r="63" ht="58.5" customHeight="1" x14ac:dyDescent="0.55000000000000004"/>
    <row r="64" ht="58.5" customHeight="1" x14ac:dyDescent="0.55000000000000004"/>
  </sheetData>
  <mergeCells count="4">
    <mergeCell ref="B1:C1"/>
    <mergeCell ref="D1:E1"/>
    <mergeCell ref="F1:G1"/>
    <mergeCell ref="H1:I1"/>
  </mergeCells>
  <conditionalFormatting sqref="B2 B7:B21">
    <cfRule type="expression" dxfId="55" priority="47">
      <formula>C2=$B$30</formula>
    </cfRule>
    <cfRule type="expression" dxfId="54" priority="48">
      <formula>C2=$B$31</formula>
    </cfRule>
    <cfRule type="expression" dxfId="53" priority="49">
      <formula>C2=$B$32</formula>
    </cfRule>
  </conditionalFormatting>
  <conditionalFormatting sqref="B7:B21">
    <cfRule type="expression" dxfId="52" priority="44">
      <formula>B7=$B$30</formula>
    </cfRule>
    <cfRule type="expression" dxfId="51" priority="45">
      <formula>C7=$B$31</formula>
    </cfRule>
    <cfRule type="expression" dxfId="50" priority="46">
      <formula>C7=$B$32</formula>
    </cfRule>
  </conditionalFormatting>
  <conditionalFormatting sqref="J2 J3:K21">
    <cfRule type="top10" dxfId="49" priority="43" rank="1"/>
  </conditionalFormatting>
  <conditionalFormatting sqref="D2:D21">
    <cfRule type="expression" dxfId="48" priority="40">
      <formula>E2=$B$30</formula>
    </cfRule>
    <cfRule type="expression" dxfId="47" priority="41">
      <formula>E2=$B$31</formula>
    </cfRule>
    <cfRule type="expression" dxfId="46" priority="42">
      <formula>E2=$B$32</formula>
    </cfRule>
  </conditionalFormatting>
  <conditionalFormatting sqref="D3:D21">
    <cfRule type="expression" dxfId="45" priority="37">
      <formula>D3=$B$30</formula>
    </cfRule>
    <cfRule type="expression" dxfId="44" priority="38">
      <formula>E3=$B$31</formula>
    </cfRule>
    <cfRule type="expression" dxfId="43" priority="39">
      <formula>E3=$B$32</formula>
    </cfRule>
  </conditionalFormatting>
  <conditionalFormatting sqref="F2:F21">
    <cfRule type="expression" dxfId="42" priority="34">
      <formula>G2=$B$30</formula>
    </cfRule>
    <cfRule type="expression" dxfId="41" priority="35">
      <formula>G2=$B$31</formula>
    </cfRule>
    <cfRule type="expression" dxfId="40" priority="36">
      <formula>G2=$B$32</formula>
    </cfRule>
  </conditionalFormatting>
  <conditionalFormatting sqref="F2:F21">
    <cfRule type="expression" dxfId="39" priority="31">
      <formula>F2=$B$30</formula>
    </cfRule>
    <cfRule type="expression" dxfId="38" priority="32">
      <formula>G2=$B$31</formula>
    </cfRule>
    <cfRule type="expression" dxfId="37" priority="33">
      <formula>G2=$B$32</formula>
    </cfRule>
  </conditionalFormatting>
  <conditionalFormatting sqref="H2:H21">
    <cfRule type="expression" dxfId="36" priority="28">
      <formula>I2=$B$30</formula>
    </cfRule>
    <cfRule type="expression" dxfId="35" priority="29">
      <formula>I2=$B$31</formula>
    </cfRule>
    <cfRule type="expression" dxfId="34" priority="30">
      <formula>I2=$B$32</formula>
    </cfRule>
  </conditionalFormatting>
  <conditionalFormatting sqref="H2:H21">
    <cfRule type="expression" dxfId="33" priority="25">
      <formula>H2=$B$30</formula>
    </cfRule>
    <cfRule type="expression" dxfId="32" priority="26">
      <formula>I2=$B$31</formula>
    </cfRule>
    <cfRule type="expression" dxfId="31" priority="27">
      <formula>I2=$B$32</formula>
    </cfRule>
  </conditionalFormatting>
  <conditionalFormatting sqref="C2 C7:C21">
    <cfRule type="cellIs" dxfId="30" priority="22" operator="notEqual">
      <formula>$B$32</formula>
    </cfRule>
    <cfRule type="cellIs" dxfId="29" priority="23" operator="notEqual">
      <formula>$B$31</formula>
    </cfRule>
    <cfRule type="cellIs" dxfId="28" priority="24" operator="notEqual">
      <formula>$B$30</formula>
    </cfRule>
  </conditionalFormatting>
  <conditionalFormatting sqref="E2:E21">
    <cfRule type="cellIs" dxfId="27" priority="19" operator="notEqual">
      <formula>$B$32</formula>
    </cfRule>
    <cfRule type="cellIs" dxfId="26" priority="20" operator="notEqual">
      <formula>$B$31</formula>
    </cfRule>
    <cfRule type="cellIs" dxfId="25" priority="21" operator="notEqual">
      <formula>$B$30</formula>
    </cfRule>
  </conditionalFormatting>
  <conditionalFormatting sqref="G2:G21">
    <cfRule type="cellIs" dxfId="24" priority="16" operator="notEqual">
      <formula>$B$32</formula>
    </cfRule>
    <cfRule type="cellIs" dxfId="23" priority="17" operator="notEqual">
      <formula>$B$31</formula>
    </cfRule>
    <cfRule type="cellIs" dxfId="22" priority="18" operator="notEqual">
      <formula>$B$30</formula>
    </cfRule>
  </conditionalFormatting>
  <conditionalFormatting sqref="I2:I21">
    <cfRule type="cellIs" dxfId="21" priority="13" operator="notEqual">
      <formula>$B$32</formula>
    </cfRule>
    <cfRule type="cellIs" dxfId="20" priority="14" operator="notEqual">
      <formula>$B$31</formula>
    </cfRule>
    <cfRule type="cellIs" dxfId="19" priority="15" operator="notEqual">
      <formula>$B$30</formula>
    </cfRule>
  </conditionalFormatting>
  <conditionalFormatting sqref="B3:B4">
    <cfRule type="expression" dxfId="18" priority="10">
      <formula>C3=$B$30</formula>
    </cfRule>
    <cfRule type="expression" dxfId="17" priority="11">
      <formula>C3=$B$31</formula>
    </cfRule>
    <cfRule type="expression" dxfId="16" priority="12">
      <formula>C3=$B$32</formula>
    </cfRule>
  </conditionalFormatting>
  <conditionalFormatting sqref="C3:C4">
    <cfRule type="cellIs" dxfId="15" priority="7" operator="notEqual">
      <formula>$B$32</formula>
    </cfRule>
    <cfRule type="cellIs" dxfId="14" priority="8" operator="notEqual">
      <formula>$B$31</formula>
    </cfRule>
    <cfRule type="cellIs" dxfId="13" priority="9" operator="notEqual">
      <formula>$B$30</formula>
    </cfRule>
  </conditionalFormatting>
  <conditionalFormatting sqref="B5:B6">
    <cfRule type="expression" dxfId="12" priority="4">
      <formula>C5=$B$30</formula>
    </cfRule>
    <cfRule type="expression" dxfId="11" priority="5">
      <formula>C5=$B$31</formula>
    </cfRule>
    <cfRule type="expression" dxfId="10" priority="6">
      <formula>C5=$B$32</formula>
    </cfRule>
  </conditionalFormatting>
  <conditionalFormatting sqref="C5:C6">
    <cfRule type="cellIs" dxfId="9" priority="1" operator="notEqual">
      <formula>$B$32</formula>
    </cfRule>
    <cfRule type="cellIs" dxfId="8" priority="2" operator="notEqual">
      <formula>$B$31</formula>
    </cfRule>
    <cfRule type="cellIs" dxfId="7" priority="3" operator="notEqual">
      <formula>$B$30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37"/>
  <sheetViews>
    <sheetView showGridLines="0" tabSelected="1" zoomScale="53" zoomScaleNormal="53" workbookViewId="0">
      <selection activeCell="D15" sqref="D15"/>
    </sheetView>
  </sheetViews>
  <sheetFormatPr baseColWidth="10" defaultColWidth="8.83203125" defaultRowHeight="15" x14ac:dyDescent="0.2"/>
  <cols>
    <col min="1" max="1" width="12.33203125" customWidth="1"/>
    <col min="2" max="2" width="98.6640625" customWidth="1"/>
    <col min="3" max="3" width="54.1640625" customWidth="1"/>
    <col min="4" max="6" width="38.6640625" customWidth="1"/>
    <col min="7" max="7" width="74.6640625" customWidth="1"/>
    <col min="8" max="8" width="31.6640625" style="16" customWidth="1"/>
    <col min="9" max="9" width="19.1640625" customWidth="1"/>
    <col min="10" max="10" width="32.5" customWidth="1"/>
  </cols>
  <sheetData>
    <row r="1" spans="1:10" ht="63" customHeight="1" x14ac:dyDescent="0.6">
      <c r="B1" s="7" t="s">
        <v>15</v>
      </c>
      <c r="C1" s="7" t="s">
        <v>14</v>
      </c>
      <c r="D1" s="4" t="s">
        <v>0</v>
      </c>
      <c r="E1" s="4" t="s">
        <v>1</v>
      </c>
      <c r="F1" s="4" t="s">
        <v>2</v>
      </c>
      <c r="G1" s="5" t="s">
        <v>13</v>
      </c>
      <c r="H1" s="52"/>
    </row>
    <row r="2" spans="1:10" ht="59" customHeight="1" x14ac:dyDescent="0.6">
      <c r="A2" s="45">
        <v>1</v>
      </c>
      <c r="B2" s="8" t="str">
        <f>Команды!A9</f>
        <v>Кроме шуток</v>
      </c>
      <c r="C2" s="1">
        <f t="array" ref="C2">SUM(IF('Общая таблица'!$A$2:$A$30=$B2,'Общая таблица'!$B$2:$G$30))</f>
        <v>8000</v>
      </c>
      <c r="D2" s="6">
        <v>-1000</v>
      </c>
      <c r="E2" s="6">
        <v>3500</v>
      </c>
      <c r="F2" s="6">
        <v>3500</v>
      </c>
      <c r="G2" s="5">
        <f>IF(ISNUMBER('Общая таблица'!B7),SUM(C2:F2),"")</f>
        <v>14000</v>
      </c>
      <c r="H2" s="53">
        <f>SUM(D2:F2)</f>
        <v>6000</v>
      </c>
      <c r="I2" s="41" t="str">
        <f>IF(AND(COUNTBLANK(D2:F2)=0,C2&lt;&gt;SUM(ABS(D2),ABS(E2),ABS(F2))),"NOT OK","")</f>
        <v/>
      </c>
      <c r="J2" s="17"/>
    </row>
    <row r="3" spans="1:10" ht="59" customHeight="1" x14ac:dyDescent="0.6">
      <c r="A3" s="45">
        <v>2</v>
      </c>
      <c r="B3" s="8" t="str">
        <f>Команды!A10</f>
        <v>Час пробил</v>
      </c>
      <c r="C3" s="1">
        <f t="array" ref="C3">SUM(IF('Общая таблица'!$A$2:$A$30=$B3,'Общая таблица'!$B$2:$G$30))</f>
        <v>5650</v>
      </c>
      <c r="D3" s="6">
        <v>300</v>
      </c>
      <c r="E3" s="6">
        <v>-350</v>
      </c>
      <c r="F3" s="6">
        <v>5000</v>
      </c>
      <c r="G3" s="5">
        <f>IF(ISNUMBER('Общая таблица'!B8),SUM(C3:F3),"")</f>
        <v>10600</v>
      </c>
      <c r="H3" s="53">
        <f t="shared" ref="H3:H17" si="0">SUM(D3:F3)</f>
        <v>4950</v>
      </c>
      <c r="I3" s="41" t="str">
        <f t="shared" ref="I3:I37" si="1">IF(AND(COUNTBLANK(D3:F3)=0,C3&lt;&gt;SUM(ABS(D3),ABS(E3),ABS(F3))),"NOT OK","")</f>
        <v/>
      </c>
    </row>
    <row r="4" spans="1:10" ht="59" customHeight="1" x14ac:dyDescent="0.6">
      <c r="A4" s="45">
        <v>3</v>
      </c>
      <c r="B4" s="8" t="str">
        <f>Команды!A6</f>
        <v>Суровая реальность</v>
      </c>
      <c r="C4" s="1">
        <f t="array" ref="C4">SUM(IF('Общая таблица'!$A$2:$A$30=$B4,'Общая таблица'!$B$2:$G$30))</f>
        <v>9500</v>
      </c>
      <c r="D4" s="6">
        <v>-3200</v>
      </c>
      <c r="E4" s="6">
        <v>3100</v>
      </c>
      <c r="F4" s="6">
        <v>-3200</v>
      </c>
      <c r="G4" s="5">
        <f>IF(ISNUMBER('Общая таблица'!B4),SUM(C4:F4),"")</f>
        <v>6200</v>
      </c>
      <c r="H4" s="53">
        <f t="shared" si="0"/>
        <v>-3300</v>
      </c>
      <c r="I4" s="41" t="str">
        <f t="shared" si="1"/>
        <v/>
      </c>
    </row>
    <row r="5" spans="1:10" ht="59" customHeight="1" x14ac:dyDescent="0.6">
      <c r="A5" s="45">
        <v>4</v>
      </c>
      <c r="B5" s="8" t="str">
        <f>Команды!A5</f>
        <v>Тихая дружба с овощем</v>
      </c>
      <c r="C5" s="1">
        <f t="array" ref="C5">SUM(IF('Общая таблица'!$A$2:$A$30=$B5,'Общая таблица'!$B$2:$G$30))</f>
        <v>8850</v>
      </c>
      <c r="D5" s="6">
        <v>-2950</v>
      </c>
      <c r="E5" s="6">
        <v>2950</v>
      </c>
      <c r="F5" s="6">
        <v>-2950</v>
      </c>
      <c r="G5" s="5">
        <f>IF(ISNUMBER('Общая таблица'!B3),SUM(C5:F5),"")</f>
        <v>5900</v>
      </c>
      <c r="H5" s="53">
        <f t="shared" si="0"/>
        <v>-2950</v>
      </c>
      <c r="I5" s="41" t="str">
        <f t="shared" si="1"/>
        <v/>
      </c>
    </row>
    <row r="6" spans="1:10" ht="59" customHeight="1" x14ac:dyDescent="0.6">
      <c r="A6" s="45">
        <v>5</v>
      </c>
      <c r="B6" s="8" t="str">
        <f>Команды!A4</f>
        <v>Однажды было дважды</v>
      </c>
      <c r="C6" s="1">
        <f t="array" ref="C6">SUM(IF('Общая таблица'!$A$2:$A$30=$B6,'Общая таблица'!$B$2:$G$30))</f>
        <v>8150</v>
      </c>
      <c r="D6" s="6">
        <v>-2700</v>
      </c>
      <c r="E6" s="6">
        <v>2750</v>
      </c>
      <c r="F6" s="6">
        <v>-2700</v>
      </c>
      <c r="G6" s="5">
        <f>IF(ISNUMBER('Общая таблица'!B2),SUM(C6:F6),"")</f>
        <v>5500</v>
      </c>
      <c r="H6" s="53">
        <f t="shared" si="0"/>
        <v>-2650</v>
      </c>
      <c r="I6" s="41" t="str">
        <f t="shared" si="1"/>
        <v/>
      </c>
    </row>
    <row r="7" spans="1:10" ht="59" customHeight="1" x14ac:dyDescent="0.6">
      <c r="A7" s="45">
        <v>6</v>
      </c>
      <c r="B7" s="8" t="str">
        <f>Команды!A7</f>
        <v>А меня не прет</v>
      </c>
      <c r="C7" s="1">
        <f t="array" ref="C7">SUM(IF('Общая таблица'!$A$2:$A$30=$B7,'Общая таблица'!$B$2:$G$30))</f>
        <v>5750</v>
      </c>
      <c r="D7" s="6">
        <v>-1750</v>
      </c>
      <c r="E7" s="6">
        <v>2000</v>
      </c>
      <c r="F7" s="6">
        <v>-2000</v>
      </c>
      <c r="G7" s="5">
        <f>IF(ISNUMBER('Общая таблица'!B5),SUM(C7:F7),"")</f>
        <v>4000</v>
      </c>
      <c r="H7" s="53">
        <f t="shared" si="0"/>
        <v>-1750</v>
      </c>
      <c r="I7" s="41" t="str">
        <f t="shared" si="1"/>
        <v/>
      </c>
    </row>
    <row r="8" spans="1:10" ht="59" customHeight="1" x14ac:dyDescent="0.6">
      <c r="A8" s="45">
        <v>7</v>
      </c>
      <c r="B8" s="8" t="str">
        <f>Команды!A8</f>
        <v>Остров предположений</v>
      </c>
      <c r="C8" s="1">
        <f t="array" ref="C8">SUM(IF('Общая таблица'!$A$2:$A$30=$B8,'Общая таблица'!$B$2:$G$30))</f>
        <v>7900</v>
      </c>
      <c r="D8" s="6">
        <v>-900</v>
      </c>
      <c r="E8" s="6">
        <v>300</v>
      </c>
      <c r="F8" s="6">
        <v>-6700</v>
      </c>
      <c r="G8" s="5">
        <f>IF(ISNUMBER('Общая таблица'!B6),SUM(C8:F8),"")</f>
        <v>600</v>
      </c>
      <c r="H8" s="53">
        <f t="shared" si="0"/>
        <v>-7300</v>
      </c>
      <c r="I8" s="41" t="str">
        <f t="shared" si="1"/>
        <v/>
      </c>
    </row>
    <row r="9" spans="1:10" ht="59" customHeight="1" x14ac:dyDescent="0.6">
      <c r="A9" s="45">
        <v>8</v>
      </c>
      <c r="B9" s="8" t="str">
        <f>Команды!A11</f>
        <v>Вучичи</v>
      </c>
      <c r="C9" s="1">
        <f t="array" ref="C9">SUM(IF('Общая таблица'!$A$2:$A$30=$B9,'Общая таблица'!$B$2:$G$30))</f>
        <v>4500</v>
      </c>
      <c r="D9" s="6">
        <v>-100</v>
      </c>
      <c r="E9" s="6">
        <v>100</v>
      </c>
      <c r="F9" s="6">
        <v>-4300</v>
      </c>
      <c r="G9" s="5">
        <f>IF(ISNUMBER('Общая таблица'!B9),SUM(C9:F9),"")</f>
        <v>200</v>
      </c>
      <c r="H9" s="53">
        <f t="shared" si="0"/>
        <v>-4300</v>
      </c>
      <c r="I9" s="41" t="str">
        <f t="shared" si="1"/>
        <v/>
      </c>
    </row>
    <row r="10" spans="1:10" ht="59" customHeight="1" x14ac:dyDescent="0.6">
      <c r="A10" s="45">
        <v>9</v>
      </c>
      <c r="B10" s="8">
        <f>Команды!A12</f>
        <v>0</v>
      </c>
      <c r="C10" s="1">
        <f t="array" ref="C10">SUM(IF('Общая таблица'!$A$2:$A$30=$B10,'Общая таблица'!$B$2:$G$30))</f>
        <v>0</v>
      </c>
      <c r="D10" s="6"/>
      <c r="E10" s="6"/>
      <c r="F10" s="6"/>
      <c r="G10" s="5" t="str">
        <f>IF(ISNUMBER('Общая таблица'!B10),SUM(C10:F10),"")</f>
        <v/>
      </c>
      <c r="H10" s="53">
        <f t="shared" si="0"/>
        <v>0</v>
      </c>
      <c r="I10" s="41" t="str">
        <f t="shared" si="1"/>
        <v/>
      </c>
    </row>
    <row r="11" spans="1:10" ht="59" customHeight="1" x14ac:dyDescent="0.6">
      <c r="A11" s="45">
        <v>10</v>
      </c>
      <c r="B11" s="8">
        <f>Команды!A13</f>
        <v>0</v>
      </c>
      <c r="C11" s="1">
        <f t="array" ref="C11">SUM(IF('Общая таблица'!$A$2:$A$30=$B11,'Общая таблица'!$B$2:$G$30))</f>
        <v>0</v>
      </c>
      <c r="D11" s="6"/>
      <c r="E11" s="6"/>
      <c r="F11" s="6"/>
      <c r="G11" s="5" t="str">
        <f>IF(ISNUMBER('Общая таблица'!B11),SUM(C11:F11),"")</f>
        <v/>
      </c>
      <c r="H11" s="53">
        <f t="shared" si="0"/>
        <v>0</v>
      </c>
      <c r="I11" s="41" t="str">
        <f t="shared" si="1"/>
        <v/>
      </c>
    </row>
    <row r="12" spans="1:10" ht="59" customHeight="1" x14ac:dyDescent="0.6">
      <c r="A12" s="45">
        <v>11</v>
      </c>
      <c r="B12" s="8">
        <f>Команды!A14</f>
        <v>0</v>
      </c>
      <c r="C12" s="1">
        <f t="array" ref="C12">SUM(IF('Общая таблица'!$A$2:$A$30=$B12,'Общая таблица'!$B$2:$G$30))</f>
        <v>0</v>
      </c>
      <c r="D12" s="6"/>
      <c r="E12" s="6"/>
      <c r="F12" s="6"/>
      <c r="G12" s="5" t="str">
        <f>IF(ISNUMBER('Общая таблица'!B12),SUM(C12:F12),"")</f>
        <v/>
      </c>
      <c r="H12" s="53">
        <f t="shared" si="0"/>
        <v>0</v>
      </c>
      <c r="I12" s="41" t="str">
        <f t="shared" si="1"/>
        <v/>
      </c>
    </row>
    <row r="13" spans="1:10" ht="59" customHeight="1" x14ac:dyDescent="0.6">
      <c r="A13" s="45">
        <v>12</v>
      </c>
      <c r="B13" s="8">
        <f>Команды!A15</f>
        <v>0</v>
      </c>
      <c r="C13" s="1">
        <f t="array" ref="C13">SUM(IF('Общая таблица'!$A$2:$A$30=$B13,'Общая таблица'!$B$2:$G$30))</f>
        <v>0</v>
      </c>
      <c r="D13" s="6"/>
      <c r="E13" s="6"/>
      <c r="F13" s="6"/>
      <c r="G13" s="5" t="str">
        <f>IF(ISNUMBER('Общая таблица'!B13),SUM(C13:F13),"")</f>
        <v/>
      </c>
      <c r="H13" s="53">
        <f t="shared" si="0"/>
        <v>0</v>
      </c>
      <c r="I13" s="41" t="str">
        <f t="shared" si="1"/>
        <v/>
      </c>
    </row>
    <row r="14" spans="1:10" ht="59" customHeight="1" x14ac:dyDescent="0.6">
      <c r="A14" s="45">
        <v>13</v>
      </c>
      <c r="B14" s="8">
        <f>Команды!A16</f>
        <v>0</v>
      </c>
      <c r="C14" s="1">
        <f t="array" ref="C14">SUM(IF('Общая таблица'!$A$2:$A$30=$B14,'Общая таблица'!$B$2:$G$30))</f>
        <v>0</v>
      </c>
      <c r="D14" s="6"/>
      <c r="E14" s="6"/>
      <c r="F14" s="6"/>
      <c r="G14" s="5" t="str">
        <f>IF(ISNUMBER('Общая таблица'!B14),SUM(C14:F14),"")</f>
        <v/>
      </c>
      <c r="H14" s="53">
        <f t="shared" si="0"/>
        <v>0</v>
      </c>
      <c r="I14" s="41" t="str">
        <f t="shared" si="1"/>
        <v/>
      </c>
    </row>
    <row r="15" spans="1:10" ht="59" customHeight="1" x14ac:dyDescent="0.6">
      <c r="A15" s="45">
        <v>14</v>
      </c>
      <c r="B15" s="8">
        <f>Команды!A17</f>
        <v>0</v>
      </c>
      <c r="C15" s="1">
        <f t="array" ref="C15">SUM(IF('Общая таблица'!$A$2:$A$30=$B15,'Общая таблица'!$B$2:$G$30))</f>
        <v>0</v>
      </c>
      <c r="D15" s="6"/>
      <c r="E15" s="6"/>
      <c r="F15" s="6"/>
      <c r="G15" s="5" t="str">
        <f>IF(ISNUMBER('Общая таблица'!B15),SUM(C15:F15),"")</f>
        <v/>
      </c>
      <c r="H15" s="53">
        <f t="shared" si="0"/>
        <v>0</v>
      </c>
      <c r="I15" s="41" t="str">
        <f t="shared" si="1"/>
        <v/>
      </c>
    </row>
    <row r="16" spans="1:10" ht="59" customHeight="1" x14ac:dyDescent="0.6">
      <c r="A16" s="45">
        <v>15</v>
      </c>
      <c r="B16" s="8">
        <f>Команды!A18</f>
        <v>0</v>
      </c>
      <c r="C16" s="1">
        <f t="array" ref="C16">SUM(IF('Общая таблица'!$A$2:$A$30=$B16,'Общая таблица'!$B$2:$G$30))</f>
        <v>0</v>
      </c>
      <c r="D16" s="6"/>
      <c r="E16" s="6"/>
      <c r="F16" s="6"/>
      <c r="G16" s="5" t="str">
        <f>IF(ISNUMBER('Общая таблица'!B16),SUM(C16:F16),"")</f>
        <v/>
      </c>
      <c r="H16" s="53">
        <f t="shared" si="0"/>
        <v>0</v>
      </c>
      <c r="I16" s="41" t="str">
        <f t="shared" si="1"/>
        <v/>
      </c>
    </row>
    <row r="17" spans="1:9" ht="59" customHeight="1" x14ac:dyDescent="0.6">
      <c r="A17" s="45">
        <v>16</v>
      </c>
      <c r="B17" s="8">
        <f>Команды!A19</f>
        <v>0</v>
      </c>
      <c r="C17" s="1">
        <f t="array" ref="C17">SUM(IF('Общая таблица'!$A$2:$A$30=$B17,'Общая таблица'!$B$2:$G$30))</f>
        <v>0</v>
      </c>
      <c r="D17" s="6"/>
      <c r="E17" s="6"/>
      <c r="F17" s="6"/>
      <c r="G17" s="5" t="str">
        <f>IF(ISNUMBER('Общая таблица'!B17),SUM(C17:F17),"")</f>
        <v/>
      </c>
      <c r="H17" s="53">
        <f t="shared" si="0"/>
        <v>0</v>
      </c>
      <c r="I17" s="41" t="str">
        <f t="shared" si="1"/>
        <v/>
      </c>
    </row>
    <row r="18" spans="1:9" ht="54.5" customHeight="1" x14ac:dyDescent="0.6">
      <c r="A18" s="45">
        <v>17</v>
      </c>
      <c r="B18" s="8">
        <f>Команды!A20</f>
        <v>0</v>
      </c>
      <c r="C18" s="1">
        <f t="array" ref="C18">SUM(IF('Общая таблица'!$A$2:$A$30=$B18,'Общая таблица'!$B$2:$G$30))</f>
        <v>0</v>
      </c>
      <c r="D18" s="6"/>
      <c r="E18" s="6"/>
      <c r="F18" s="6"/>
      <c r="G18" s="5" t="str">
        <f>IF(ISNUMBER('Общая таблица'!B18),SUM(C18:F18),"")</f>
        <v/>
      </c>
      <c r="H18" s="53">
        <f t="shared" ref="H18:H21" si="2">SUM(D18:F18)</f>
        <v>0</v>
      </c>
      <c r="I18" s="41" t="str">
        <f t="shared" si="1"/>
        <v/>
      </c>
    </row>
    <row r="19" spans="1:9" ht="54.5" customHeight="1" x14ac:dyDescent="0.6">
      <c r="A19" s="45">
        <v>18</v>
      </c>
      <c r="B19" s="8">
        <f>Команды!A21</f>
        <v>0</v>
      </c>
      <c r="C19" s="1">
        <f t="array" ref="C19">SUM(IF('Общая таблица'!$A$2:$A$30=$B19,'Общая таблица'!$B$2:$G$30))</f>
        <v>0</v>
      </c>
      <c r="D19" s="6"/>
      <c r="E19" s="6"/>
      <c r="F19" s="6"/>
      <c r="G19" s="5" t="str">
        <f>IF(ISNUMBER('Общая таблица'!B19),SUM(C19:F19),"")</f>
        <v/>
      </c>
      <c r="H19" s="53">
        <f t="shared" si="2"/>
        <v>0</v>
      </c>
      <c r="I19" s="41" t="str">
        <f t="shared" si="1"/>
        <v/>
      </c>
    </row>
    <row r="20" spans="1:9" ht="54.5" customHeight="1" x14ac:dyDescent="0.6">
      <c r="A20" s="45">
        <v>19</v>
      </c>
      <c r="B20" s="8">
        <f>Команды!A22</f>
        <v>0</v>
      </c>
      <c r="C20" s="1">
        <f t="array" ref="C20">SUM(IF('Общая таблица'!$A$2:$A$30=$B20,'Общая таблица'!$B$2:$G$30))</f>
        <v>0</v>
      </c>
      <c r="D20" s="6"/>
      <c r="E20" s="6"/>
      <c r="F20" s="6"/>
      <c r="G20" s="5" t="str">
        <f>IF(ISNUMBER('Общая таблица'!B20),SUM(C20:F20),"")</f>
        <v/>
      </c>
      <c r="H20" s="53">
        <f t="shared" si="2"/>
        <v>0</v>
      </c>
      <c r="I20" s="41" t="str">
        <f t="shared" si="1"/>
        <v/>
      </c>
    </row>
    <row r="21" spans="1:9" ht="54.5" customHeight="1" x14ac:dyDescent="0.6">
      <c r="A21" s="45">
        <v>20</v>
      </c>
      <c r="B21" s="8">
        <f>Команды!A23</f>
        <v>0</v>
      </c>
      <c r="C21" s="1">
        <f t="array" ref="C21">SUM(IF('Общая таблица'!$A$2:$A$30=$B21,'Общая таблица'!$B$2:$G$30))</f>
        <v>0</v>
      </c>
      <c r="D21" s="6"/>
      <c r="E21" s="6"/>
      <c r="F21" s="6"/>
      <c r="G21" s="5" t="str">
        <f>IF(ISNUMBER('Общая таблица'!B21),SUM(C21:F21),"")</f>
        <v/>
      </c>
      <c r="H21" s="53">
        <f t="shared" si="2"/>
        <v>0</v>
      </c>
      <c r="I21" s="41" t="str">
        <f t="shared" si="1"/>
        <v/>
      </c>
    </row>
    <row r="22" spans="1:9" ht="24" x14ac:dyDescent="0.3">
      <c r="I22" s="41" t="str">
        <f t="shared" si="1"/>
        <v/>
      </c>
    </row>
    <row r="23" spans="1:9" ht="24" x14ac:dyDescent="0.3">
      <c r="I23" s="41" t="str">
        <f t="shared" si="1"/>
        <v/>
      </c>
    </row>
    <row r="24" spans="1:9" ht="24" x14ac:dyDescent="0.3">
      <c r="I24" s="41" t="str">
        <f t="shared" si="1"/>
        <v/>
      </c>
    </row>
    <row r="25" spans="1:9" ht="24" x14ac:dyDescent="0.3">
      <c r="I25" s="41" t="str">
        <f t="shared" si="1"/>
        <v/>
      </c>
    </row>
    <row r="26" spans="1:9" ht="24" x14ac:dyDescent="0.3">
      <c r="I26" s="41" t="str">
        <f t="shared" si="1"/>
        <v/>
      </c>
    </row>
    <row r="27" spans="1:9" ht="24" x14ac:dyDescent="0.3">
      <c r="I27" s="41" t="str">
        <f t="shared" si="1"/>
        <v/>
      </c>
    </row>
    <row r="28" spans="1:9" ht="24" x14ac:dyDescent="0.3">
      <c r="I28" s="41" t="str">
        <f t="shared" si="1"/>
        <v/>
      </c>
    </row>
    <row r="29" spans="1:9" ht="24" x14ac:dyDescent="0.3">
      <c r="I29" s="41" t="str">
        <f t="shared" si="1"/>
        <v/>
      </c>
    </row>
    <row r="30" spans="1:9" ht="24" x14ac:dyDescent="0.3">
      <c r="I30" s="41" t="str">
        <f t="shared" si="1"/>
        <v/>
      </c>
    </row>
    <row r="31" spans="1:9" ht="24" x14ac:dyDescent="0.3">
      <c r="I31" s="41" t="str">
        <f t="shared" si="1"/>
        <v/>
      </c>
    </row>
    <row r="32" spans="1:9" ht="24" x14ac:dyDescent="0.3">
      <c r="I32" s="41" t="str">
        <f t="shared" si="1"/>
        <v/>
      </c>
    </row>
    <row r="33" spans="9:9" ht="24" x14ac:dyDescent="0.3">
      <c r="I33" s="41" t="str">
        <f t="shared" si="1"/>
        <v/>
      </c>
    </row>
    <row r="34" spans="9:9" ht="24" x14ac:dyDescent="0.3">
      <c r="I34" s="41" t="str">
        <f t="shared" si="1"/>
        <v/>
      </c>
    </row>
    <row r="35" spans="9:9" ht="24" x14ac:dyDescent="0.3">
      <c r="I35" s="41" t="str">
        <f t="shared" si="1"/>
        <v/>
      </c>
    </row>
    <row r="36" spans="9:9" ht="24" x14ac:dyDescent="0.3">
      <c r="I36" s="41" t="str">
        <f t="shared" si="1"/>
        <v/>
      </c>
    </row>
    <row r="37" spans="9:9" ht="24" x14ac:dyDescent="0.3">
      <c r="I37" s="41" t="str">
        <f t="shared" si="1"/>
        <v/>
      </c>
    </row>
  </sheetData>
  <sortState xmlns:xlrd2="http://schemas.microsoft.com/office/spreadsheetml/2017/richdata2" ref="B2:G9">
    <sortCondition descending="1" ref="G1:G9"/>
  </sortState>
  <conditionalFormatting sqref="G2:G21">
    <cfRule type="top10" dxfId="6" priority="7" rank="1"/>
  </conditionalFormatting>
  <conditionalFormatting sqref="D2">
    <cfRule type="expression" dxfId="5" priority="6">
      <formula>$I2="NOT OK"</formula>
    </cfRule>
  </conditionalFormatting>
  <conditionalFormatting sqref="E2:F2">
    <cfRule type="expression" dxfId="4" priority="5">
      <formula>$I2="NOT OK"</formula>
    </cfRule>
  </conditionalFormatting>
  <conditionalFormatting sqref="D3:D21">
    <cfRule type="expression" dxfId="3" priority="4">
      <formula>$I3="NOT OK"</formula>
    </cfRule>
  </conditionalFormatting>
  <conditionalFormatting sqref="E3:F3 F4 E7 E8:F25">
    <cfRule type="expression" dxfId="2" priority="3">
      <formula>$I3="NOT OK"</formula>
    </cfRule>
  </conditionalFormatting>
  <conditionalFormatting sqref="E4:E6">
    <cfRule type="expression" dxfId="1" priority="2">
      <formula>$I4="NOT OK"</formula>
    </cfRule>
  </conditionalFormatting>
  <conditionalFormatting sqref="F5:F7">
    <cfRule type="expression" dxfId="0" priority="1">
      <formula>$I5="NOT OK"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25"/>
  <sheetViews>
    <sheetView showGridLines="0" zoomScale="60" zoomScaleNormal="60" workbookViewId="0">
      <selection activeCell="A13" sqref="A13"/>
    </sheetView>
  </sheetViews>
  <sheetFormatPr baseColWidth="10" defaultColWidth="8.83203125" defaultRowHeight="15" x14ac:dyDescent="0.2"/>
  <cols>
    <col min="1" max="1" width="61" customWidth="1"/>
  </cols>
  <sheetData>
    <row r="1" spans="1:1" ht="29" customHeight="1" x14ac:dyDescent="0.4">
      <c r="A1" s="11" t="s">
        <v>16</v>
      </c>
    </row>
    <row r="2" spans="1:1" ht="5.5" customHeight="1" x14ac:dyDescent="0.2"/>
    <row r="3" spans="1:1" ht="5.5" customHeight="1" x14ac:dyDescent="0.2"/>
    <row r="4" spans="1:1" ht="38.5" customHeight="1" x14ac:dyDescent="0.35">
      <c r="A4" s="10" t="s">
        <v>41</v>
      </c>
    </row>
    <row r="5" spans="1:1" ht="38.5" customHeight="1" x14ac:dyDescent="0.35">
      <c r="A5" s="10" t="s">
        <v>42</v>
      </c>
    </row>
    <row r="6" spans="1:1" ht="38.5" customHeight="1" x14ac:dyDescent="0.35">
      <c r="A6" s="10" t="s">
        <v>43</v>
      </c>
    </row>
    <row r="7" spans="1:1" ht="38.5" customHeight="1" x14ac:dyDescent="0.35">
      <c r="A7" s="10" t="s">
        <v>48</v>
      </c>
    </row>
    <row r="8" spans="1:1" ht="38.5" customHeight="1" x14ac:dyDescent="0.35">
      <c r="A8" s="10" t="s">
        <v>44</v>
      </c>
    </row>
    <row r="9" spans="1:1" ht="38.5" customHeight="1" x14ac:dyDescent="0.35">
      <c r="A9" s="10" t="s">
        <v>45</v>
      </c>
    </row>
    <row r="10" spans="1:1" ht="38.5" customHeight="1" x14ac:dyDescent="0.35">
      <c r="A10" s="10" t="s">
        <v>46</v>
      </c>
    </row>
    <row r="11" spans="1:1" ht="38.5" customHeight="1" x14ac:dyDescent="0.35">
      <c r="A11" s="10" t="s">
        <v>47</v>
      </c>
    </row>
    <row r="12" spans="1:1" ht="38.5" customHeight="1" x14ac:dyDescent="0.35">
      <c r="A12" s="10"/>
    </row>
    <row r="13" spans="1:1" ht="38.5" customHeight="1" x14ac:dyDescent="0.35">
      <c r="A13" s="10"/>
    </row>
    <row r="14" spans="1:1" ht="38.5" customHeight="1" x14ac:dyDescent="0.35">
      <c r="A14" s="10"/>
    </row>
    <row r="15" spans="1:1" ht="38.5" customHeight="1" x14ac:dyDescent="0.35">
      <c r="A15" s="10"/>
    </row>
    <row r="16" spans="1:1" ht="38.5" customHeight="1" x14ac:dyDescent="0.35">
      <c r="A16" s="10"/>
    </row>
    <row r="17" spans="1:1" ht="38.5" customHeight="1" x14ac:dyDescent="0.35">
      <c r="A17" s="10"/>
    </row>
    <row r="18" spans="1:1" ht="38.5" customHeight="1" x14ac:dyDescent="0.35">
      <c r="A18" s="10"/>
    </row>
    <row r="19" spans="1:1" ht="38.5" customHeight="1" x14ac:dyDescent="0.35">
      <c r="A19" s="10"/>
    </row>
    <row r="20" spans="1:1" ht="38.5" customHeight="1" x14ac:dyDescent="0.35">
      <c r="A20" s="10"/>
    </row>
    <row r="21" spans="1:1" ht="38.5" customHeight="1" x14ac:dyDescent="0.35">
      <c r="A21" s="10"/>
    </row>
    <row r="22" spans="1:1" ht="38.5" customHeight="1" x14ac:dyDescent="0.35">
      <c r="A22" s="10"/>
    </row>
    <row r="23" spans="1:1" ht="38.5" customHeight="1" x14ac:dyDescent="0.35">
      <c r="A23" s="10"/>
    </row>
    <row r="24" spans="1:1" ht="38.5" customHeight="1" x14ac:dyDescent="0.35">
      <c r="A24" s="10"/>
    </row>
    <row r="25" spans="1:1" ht="38.5" customHeight="1" x14ac:dyDescent="0.35">
      <c r="A25" s="10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C11"/>
  <sheetViews>
    <sheetView showGridLines="0" workbookViewId="0">
      <selection activeCell="C12" sqref="C12"/>
    </sheetView>
  </sheetViews>
  <sheetFormatPr baseColWidth="10" defaultColWidth="8.83203125" defaultRowHeight="15" x14ac:dyDescent="0.2"/>
  <cols>
    <col min="2" max="2" width="20.1640625" style="47" customWidth="1"/>
  </cols>
  <sheetData>
    <row r="2" spans="1:3" x14ac:dyDescent="0.2">
      <c r="B2" s="47" t="s">
        <v>28</v>
      </c>
      <c r="C2" t="s">
        <v>29</v>
      </c>
    </row>
    <row r="3" spans="1:3" x14ac:dyDescent="0.2">
      <c r="A3" t="s">
        <v>31</v>
      </c>
      <c r="C3" t="s">
        <v>32</v>
      </c>
    </row>
    <row r="4" spans="1:3" x14ac:dyDescent="0.2">
      <c r="B4" s="47" t="s">
        <v>7</v>
      </c>
      <c r="C4" t="s">
        <v>30</v>
      </c>
    </row>
    <row r="5" spans="1:3" x14ac:dyDescent="0.2">
      <c r="B5" s="47" t="s">
        <v>10</v>
      </c>
      <c r="C5" t="s">
        <v>33</v>
      </c>
    </row>
    <row r="6" spans="1:3" x14ac:dyDescent="0.2">
      <c r="C6" t="s">
        <v>36</v>
      </c>
    </row>
    <row r="7" spans="1:3" x14ac:dyDescent="0.2">
      <c r="C7" t="s">
        <v>37</v>
      </c>
    </row>
    <row r="8" spans="1:3" x14ac:dyDescent="0.2">
      <c r="B8" s="47" t="s">
        <v>12</v>
      </c>
      <c r="C8" t="s">
        <v>34</v>
      </c>
    </row>
    <row r="9" spans="1:3" x14ac:dyDescent="0.2">
      <c r="C9" t="s">
        <v>35</v>
      </c>
    </row>
    <row r="10" spans="1:3" x14ac:dyDescent="0.2">
      <c r="B10" s="47" t="s">
        <v>15</v>
      </c>
      <c r="C10" t="s">
        <v>32</v>
      </c>
    </row>
    <row r="11" spans="1:3" x14ac:dyDescent="0.2">
      <c r="C11" t="s">
        <v>38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topLeftCell="A4" workbookViewId="0">
      <selection activeCell="W36" sqref="W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"/>
  <sheetViews>
    <sheetView workbookViewId="0">
      <selection activeCell="V36" sqref="V36"/>
    </sheetView>
  </sheetViews>
  <sheetFormatPr baseColWidth="10" defaultColWidth="8.83203125" defaultRowHeight="1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Общая таблица</vt:lpstr>
      <vt:lpstr>Числа</vt:lpstr>
      <vt:lpstr>Преферанс</vt:lpstr>
      <vt:lpstr>Разоблачение</vt:lpstr>
      <vt:lpstr>Аукцион</vt:lpstr>
      <vt:lpstr>Момент истины</vt:lpstr>
      <vt:lpstr>Команды</vt:lpstr>
      <vt:lpstr>Список_автоматизаций</vt:lpstr>
      <vt:lpstr>преф</vt:lpstr>
      <vt:lpstr>разобл</vt:lpstr>
      <vt:lpstr>аук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Lesha</dc:creator>
  <cp:lastModifiedBy>Sasha Tager</cp:lastModifiedBy>
  <cp:lastPrinted>2016-10-18T13:53:37Z</cp:lastPrinted>
  <dcterms:created xsi:type="dcterms:W3CDTF">2016-08-11T11:55:56Z</dcterms:created>
  <dcterms:modified xsi:type="dcterms:W3CDTF">2024-02-25T21:39:30Z</dcterms:modified>
</cp:coreProperties>
</file>